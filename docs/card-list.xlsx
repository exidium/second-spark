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1.xml.rels" ContentType="application/vnd.openxmlformats-package.relationships+xml"/>
  <Override PartName="/xl/worksheets/_rels/sheet5.xml.rels" ContentType="application/vnd.openxmlformats-package.relationships+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3.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verview" sheetId="1" state="visible" r:id="rId3"/>
    <sheet name="Style" sheetId="2" state="visible" r:id="rId4"/>
    <sheet name="Cadavers" sheetId="3" state="visible" r:id="rId5"/>
    <sheet name="Scoundrels" sheetId="4" state="visible" r:id="rId6"/>
    <sheet name="Research" sheetId="5" state="visible" r:id="rId7"/>
    <sheet name="Humanity" sheetId="6" state="visible" r:id="rId8"/>
    <sheet name="Events" sheetId="7" state="visible" r:id="rId9"/>
    <sheet name="Encounters" sheetId="8" state="visible" r:id="rId10"/>
    <sheet name="Characters" sheetId="9" state="visible" r:id="rId11"/>
    <sheet name="Locations" sheetId="10" state="visible" r:id="rId12"/>
    <sheet name="Anatomy" sheetId="11" state="visible" r:id="rId13"/>
  </sheets>
  <definedNames>
    <definedName function="false" hidden="true" localSheetId="10" name="_xlnm._FilterDatabase" vbProcedure="false">Anatomy!$A$2:$T$6</definedName>
    <definedName function="false" hidden="true" localSheetId="2" name="_xlnm._FilterDatabase" vbProcedure="false">Cadavers!$A$2:$Q$54</definedName>
    <definedName function="false" hidden="true" localSheetId="8" name="_xlnm._FilterDatabase" vbProcedure="false">Characters!$A$2:$H$8</definedName>
    <definedName function="false" hidden="true" localSheetId="7" name="_xlnm._FilterDatabase" vbProcedure="false">Encounters!$A$2:$N$17</definedName>
    <definedName function="false" hidden="true" localSheetId="6" name="_xlnm._FilterDatabase" vbProcedure="false">Events!$A$2:$L$21</definedName>
    <definedName function="false" hidden="true" localSheetId="5" name="_xlnm._FilterDatabase" vbProcedure="false">Humanity!$A$2:$K$18</definedName>
    <definedName function="false" hidden="true" localSheetId="9" name="_xlnm._FilterDatabase" vbProcedure="false">Locations!$A$2:$H$18</definedName>
    <definedName function="false" hidden="true" localSheetId="4" name="_xlnm._FilterDatabase" vbProcedure="false">Research!$A$2:$K$18</definedName>
    <definedName function="false" hidden="true" localSheetId="3" name="_xlnm._FilterDatabase" vbProcedure="false">Scoundrels!$A$2:$L$18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<sst xmlns="http://schemas.openxmlformats.org/spreadsheetml/2006/main" count="1274" uniqueCount="853">
  <si>
    <t xml:space="preserve">The Second Spark: card list</t>
  </si>
  <si>
    <t xml:space="preserve">Numbers follow the physical game (read from the Tabletop Simulator sheets). Names, wording and art are original to The Second Spark.</t>
  </si>
  <si>
    <t xml:space="preserve">Deck</t>
  </si>
  <si>
    <t xml:space="preserve">Cards</t>
  </si>
  <si>
    <t xml:space="preserve">Where it is used</t>
  </si>
  <si>
    <t xml:space="preserve">Cemetery cadavers</t>
  </si>
  <si>
    <t xml:space="preserve">Cemetery (hidden, draw 3)</t>
  </si>
  <si>
    <t xml:space="preserve">Morgue cadavers</t>
  </si>
  <si>
    <t xml:space="preserve">Morgue (hidden, draw 2)</t>
  </si>
  <si>
    <t xml:space="preserve">Hospital cadavers</t>
  </si>
  <si>
    <t xml:space="preserve">Hospital (2 face up), Hospital Thief</t>
  </si>
  <si>
    <t xml:space="preserve">Public Square cadavers</t>
  </si>
  <si>
    <t xml:space="preserve">Public Square after executions</t>
  </si>
  <si>
    <t xml:space="preserve">Scoundrels</t>
  </si>
  <si>
    <t xml:space="preserve">Docks (3 face up)</t>
  </si>
  <si>
    <t xml:space="preserve">Research</t>
  </si>
  <si>
    <t xml:space="preserve">Academy (3 face up)</t>
  </si>
  <si>
    <t xml:space="preserve">Humanity</t>
  </si>
  <si>
    <t xml:space="preserve">Saint-Roch (3 face up)</t>
  </si>
  <si>
    <t xml:space="preserve">Events</t>
  </si>
  <si>
    <t xml:space="preserve">Event phase</t>
  </si>
  <si>
    <t xml:space="preserve">Encounters</t>
  </si>
  <si>
    <t xml:space="preserve">Event phase (4 per game)</t>
  </si>
  <si>
    <t xml:space="preserve">Characters</t>
  </si>
  <si>
    <t xml:space="preserve">Title screen</t>
  </si>
  <si>
    <t xml:space="preserve">Total cards</t>
  </si>
  <si>
    <t xml:space="preserve">Every card sheet ends with a ready-to-paste Prompt, a Negative prompt, the Aspect and the File name. Prompts are built from the Style sheet: edit a style there and all prompts update.</t>
  </si>
  <si>
    <t xml:space="preserve">Prompt building blocks (prompts on every sheet = subject + style + format)</t>
  </si>
  <si>
    <t xml:space="preserve">Style: standard</t>
  </si>
  <si>
    <t xml:space="preserve">Dark hand-drawn coloured-pencil illustration on black-toned paper. Visible pencil strokes and cross-hatching, waxy layered colour, soft grain of the paper showing through. Gothic 1819 Paris, Mary Shelley mood. Low-key candlelit lighting: a single warm light source (candle, lantern or lamp) carving figures out of near-black shadow. Muted palette of soot black, bruised plum, oxblood red, tarnished brass and bone white, with one small accent of cold galvanic blue where electricity or life appears. Subtle vignette fading to black at the edges. Melancholic, unsettling, quietly beautiful rather than gory: wounds and death are suggested with restraint, never graphic. Hand-made imperfections, no digital gloss.</t>
  </si>
  <si>
    <t xml:space="preserve">Style: cadavers (visceral)</t>
  </si>
  <si>
    <t xml:space="preserve">Dark hand-drawn coloured-pencil illustration on black-toned paper. Visible pencil strokes and dense cross-hatching, waxy layered colour, soft grain of the paper showing through. Gothic 1819 Paris anatomical horror, Mary Shelley mood. Even darker than daylight allows: the body emerges from deep black, lit hard from one side by a single lantern. Visceral and unflinching: decaying flesh built up in waxy layers of grey-green, livid purple, jaundiced yellow and clotted oxblood; raw wounds, torn stitches, split skin, exposed bone and sinew where the body is broken; flies and grave dirt where it fits. Rendered with the cold precision of an anatomist's study, not cartoon splatter. No blue anywhere: these bodies have no spark of life. Hand-made imperfections, no digital gloss.</t>
  </si>
  <si>
    <t xml:space="preserve">Negative: standard</t>
  </si>
  <si>
    <t xml:space="preserve">text, letters, words, captions, logos, watermark, signature, card frame, border, UI, photorealistic, 3D render, CGI, glossy, airbrushed, smooth digital painting, anime, cartoon, chibi, bright saturated colours, daylight, white background, gore, exposed organs in detail, modern clothing, modern objects</t>
  </si>
  <si>
    <t xml:space="preserve">Negative: cadavers</t>
  </si>
  <si>
    <t xml:space="preserve">text, letters, words, captions, logos, watermark, signature, card frame, border, UI, photorealistic, 3D render, CGI, glossy, airbrushed, smooth digital painting, anime, cartoon, comic-book gore, paint-splatter blood, bright saturated red, daylight, white background, modern clothing, modern objects, blue light, living expression, open smiling eyes</t>
  </si>
  <si>
    <t xml:space="preserve">Format: portrait</t>
  </si>
  <si>
    <t xml:space="preserve">Format: 2:3 portrait, head and shoulders, centred, lower 20% dark and simple.</t>
  </si>
  <si>
    <t xml:space="preserve">Format: cadaver</t>
  </si>
  <si>
    <t xml:space="preserve">Format: 2:3 portrait, the body seen from above as it lies, head and upper torso, centred, lower 20% dark and simple.</t>
  </si>
  <si>
    <t xml:space="preserve">Format: wide</t>
  </si>
  <si>
    <t xml:space="preserve">Format: 16:9 landscape, wide establishing view of the place at night, small figures at most.</t>
  </si>
  <si>
    <t xml:space="preserve">Format: object</t>
  </si>
  <si>
    <t xml:space="preserve">Format: 4:3 landscape, one clear object or moment in close-up, simple dark background.</t>
  </si>
  <si>
    <t xml:space="preserve">Card</t>
  </si>
  <si>
    <t xml:space="preserve">Stage</t>
  </si>
  <si>
    <t xml:space="preserve">Muscle</t>
  </si>
  <si>
    <t xml:space="preserve">Organ</t>
  </si>
  <si>
    <t xml:space="preserve">Blood</t>
  </si>
  <si>
    <t xml:space="preserve">Bone</t>
  </si>
  <si>
    <t xml:space="preserve">Total materials</t>
  </si>
  <si>
    <t xml:space="preserve">Expertise option</t>
  </si>
  <si>
    <t xml:space="preserve">Humanity cost</t>
  </si>
  <si>
    <t xml:space="preserve">Extra francs</t>
  </si>
  <si>
    <t xml:space="preserve">Notes</t>
  </si>
  <si>
    <t xml:space="preserve">Illustration subject</t>
  </si>
  <si>
    <t xml:space="preserve">Prompt (ready to paste)</t>
  </si>
  <si>
    <t xml:space="preserve">Negative prompt</t>
  </si>
  <si>
    <t xml:space="preserve">Aspect</t>
  </si>
  <si>
    <t xml:space="preserve">File name</t>
  </si>
  <si>
    <t xml:space="preserve">Cemetery 01</t>
  </si>
  <si>
    <t xml:space="preserve">Cemetery</t>
  </si>
  <si>
    <t xml:space="preserve">IV</t>
  </si>
  <si>
    <t xml:space="preserve">An elderly washerwoman in a collapsed pine coffin, sunken eye sockets, grave dirt in her grey hair, freshly dug up by lantern light, grave dirt and roots around, months in the ground, flesh shrunken and blackened, skin parchment-thin and torn, teeth bared</t>
  </si>
  <si>
    <t xml:space="preserve">2:3</t>
  </si>
  <si>
    <t xml:space="preserve">cemetery-01.png</t>
  </si>
  <si>
    <t xml:space="preserve">Cemetery 02</t>
  </si>
  <si>
    <t xml:space="preserve">A middle-aged stonemason, jaw slack and fallen open, burial shirt stained black with fluids, freshly dug up by lantern light, grave dirt and roots around, months in the ground, flesh shrunken and blackened, skin parchment-thin and torn, teeth bared</t>
  </si>
  <si>
    <t xml:space="preserve">cemetery-02.png</t>
  </si>
  <si>
    <t xml:space="preserve">Cemetery 03</t>
  </si>
  <si>
    <t xml:space="preserve">A young conscript of the Grande Armée in a rotting uniform, a sabre scar across his cheek split wide, freshly dug up by lantern light, grave dirt and roots around, months in the ground, flesh shrunken and blackened, skin parchment-thin and torn, teeth bared</t>
  </si>
  <si>
    <t xml:space="preserve">cemetery-03.png</t>
  </si>
  <si>
    <t xml:space="preserve">Cemetery 04</t>
  </si>
  <si>
    <t xml:space="preserve">A stout innkeeper in a burst burial suit, belly collapsed, beetles in the folds of cloth, freshly dug up by lantern light, grave dirt and roots around, months in the ground, flesh shrunken and blackened, skin parchment-thin and torn, teeth bared</t>
  </si>
  <si>
    <t xml:space="preserve">cemetery-04.png</t>
  </si>
  <si>
    <t xml:space="preserve">Cemetery 05</t>
  </si>
  <si>
    <t xml:space="preserve">bones</t>
  </si>
  <si>
    <t xml:space="preserve">Bones only</t>
  </si>
  <si>
    <t xml:space="preserve">A jumble of brown bones and a cracked skull in a collapsed coffin, roots growing through the ribs, a few strands of hair and rags of skin still clinging</t>
  </si>
  <si>
    <t xml:space="preserve">cemetery-05.png</t>
  </si>
  <si>
    <t xml:space="preserve">Cemetery 06</t>
  </si>
  <si>
    <t xml:space="preserve">A skeleton still wrapped in a rotted shroud, finger bones clutching a tarnished rosary, a few strands of hair and rags of skin still clinging</t>
  </si>
  <si>
    <t xml:space="preserve">cemetery-06.png</t>
  </si>
  <si>
    <t xml:space="preserve">Cemetery 07</t>
  </si>
  <si>
    <t xml:space="preserve">A pile of femurs, ribs and vertebrae dumped beside an open grave, soil clinging to them, a few strands of hair and rags of skin still clinging</t>
  </si>
  <si>
    <t xml:space="preserve">cemetery-07.png</t>
  </si>
  <si>
    <t xml:space="preserve">Cemetery 08</t>
  </si>
  <si>
    <t xml:space="preserve">A skull and long bones in a broken lead-lined coffin, a corroded name plate beside them, a few strands of hair and rags of skin still clinging</t>
  </si>
  <si>
    <t xml:space="preserve">cemetery-08.png</t>
  </si>
  <si>
    <t xml:space="preserve">Cemetery 09</t>
  </si>
  <si>
    <t xml:space="preserve">III</t>
  </si>
  <si>
    <t xml:space="preserve">A woman in her thirties, a dried rose still pinned in her hair, cheeks swollen and split, freshly dug up by lantern light, grave dirt and roots around, dead a week, bloated, marbled green veins under the skin, skin slipping at the edges</t>
  </si>
  <si>
    <t xml:space="preserve">cemetery-09.png</t>
  </si>
  <si>
    <t xml:space="preserve">Cemetery 10</t>
  </si>
  <si>
    <t xml:space="preserve">A grey-bearded Seine sailor, tattooed forearm gone purple-black, cheeks torn, freshly dug up by lantern light, grave dirt and roots around, dead a week, bloated, marbled green veins under the skin, skin slipping at the edges</t>
  </si>
  <si>
    <t xml:space="preserve">cemetery-10.png</t>
  </si>
  <si>
    <t xml:space="preserve">Cemetery 11</t>
  </si>
  <si>
    <t xml:space="preserve">A young man with a rope burn around his neck, face swollen dark, tongue thick between his teeth, freshly dug up by lantern light, grave dirt and roots around, dead a week, bloated, marbled green veins under the skin, skin slipping at the edges</t>
  </si>
  <si>
    <t xml:space="preserve">cemetery-11.png</t>
  </si>
  <si>
    <t xml:space="preserve">Cemetery 12</t>
  </si>
  <si>
    <t xml:space="preserve">A seamstress with needle-scarred fingers, skin waxy and torn at the lips, hair matted with soil, freshly dug up by lantern light, grave dirt and roots around, dead a week, bloated, marbled green veins under the skin, skin slipping at the edges</t>
  </si>
  <si>
    <t xml:space="preserve">cemetery-12.png</t>
  </si>
  <si>
    <t xml:space="preserve">Cemetery 13</t>
  </si>
  <si>
    <t xml:space="preserve">A gaunt old priest in a mouldering cassock, flesh shrinking back from the fingernails, freshly dug up by lantern light, grave dirt and roots around, dead a week, bloated, marbled green veins under the skin, skin slipping at the edges</t>
  </si>
  <si>
    <t xml:space="preserve">cemetery-13.png</t>
  </si>
  <si>
    <t xml:space="preserve">Cemetery 14</t>
  </si>
  <si>
    <t xml:space="preserve">A corpulent merchant in rotted burial silk, body burst and leaking, rings sunk into swollen fingers, freshly dug up by lantern light, grave dirt and roots around, months in the ground, flesh shrunken and blackened, skin parchment-thin and torn, teeth bared</t>
  </si>
  <si>
    <t xml:space="preserve">cemetery-14.png</t>
  </si>
  <si>
    <t xml:space="preserve">Hospital 01</t>
  </si>
  <si>
    <t xml:space="preserve">Hospital</t>
  </si>
  <si>
    <t xml:space="preserve">II</t>
  </si>
  <si>
    <t xml:space="preserve">An old woman with a fever-ravaged face, a blood-soaked bandage around her throat, eye swollen shut, lying on a stained hospital pillow under coarse linen, dead a day or two, lividity pooling purple, lips greying</t>
  </si>
  <si>
    <t xml:space="preserve">hospital-01.png</t>
  </si>
  <si>
    <t xml:space="preserve">Hospital 02</t>
  </si>
  <si>
    <t xml:space="preserve">A moustached porter with a surgical saw wound across his shoulder, sutures torn open, lying on a stained hospital pillow under coarse linen, dead a day or two, lividity pooling purple, lips greying</t>
  </si>
  <si>
    <t xml:space="preserve">hospital-02.png</t>
  </si>
  <si>
    <t xml:space="preserve">Hospital 03</t>
  </si>
  <si>
    <t xml:space="preserve">A young clerk with a bullet wound at the temple, a crust of blood down his cheek, lying on a stained hospital pillow under coarse linen, dead a day or two, lividity pooling purple, lips greying</t>
  </si>
  <si>
    <t xml:space="preserve">hospital-03.png</t>
  </si>
  <si>
    <t xml:space="preserve">Hospital 04</t>
  </si>
  <si>
    <t xml:space="preserve">A young woman dead of cholera, skin blue-grey and drawn tight, eyes sunken, lying on a stained hospital pillow under coarse linen, dead a day or two, lividity pooling purple, lips greying</t>
  </si>
  <si>
    <t xml:space="preserve">hospital-04.png</t>
  </si>
  <si>
    <t xml:space="preserve">Hospital 05</t>
  </si>
  <si>
    <t xml:space="preserve">I</t>
  </si>
  <si>
    <t xml:space="preserve">A bald old man with a sunken chest, bruised black where the surgeon’s ribs-spreader went in, lying on a stained hospital pillow under coarse linen, freshly dead, skin still waxy-pale, blood barely dry</t>
  </si>
  <si>
    <t xml:space="preserve">hospital-05.png</t>
  </si>
  <si>
    <t xml:space="preserve">Hospital 06</t>
  </si>
  <si>
    <t xml:space="preserve">A coal porter with a crushed chest, broken ribs pushing against bloodied linen, lying on a stained hospital pillow under coarse linen, freshly dead, skin still waxy-pale, blood barely dry</t>
  </si>
  <si>
    <t xml:space="preserve">hospital-06.png</t>
  </si>
  <si>
    <t xml:space="preserve">Hospital 07</t>
  </si>
  <si>
    <t xml:space="preserve">A long-haired young man with a deep gash from brow to jaw, stitches half done, lying on a stained hospital pillow under coarse linen, freshly dead, skin still waxy-pale, blood barely dry</t>
  </si>
  <si>
    <t xml:space="preserve">hospital-07.png</t>
  </si>
  <si>
    <t xml:space="preserve">Hospital 08</t>
  </si>
  <si>
    <t xml:space="preserve">A washerwoman with a bloody amputation stump at the elbow, the bandage slipping, lying on a stained hospital pillow under coarse linen, dead a day or two, lividity pooling purple, lips greying</t>
  </si>
  <si>
    <t xml:space="preserve">hospital-08.png</t>
  </si>
  <si>
    <t xml:space="preserve">Hospital 09</t>
  </si>
  <si>
    <t xml:space="preserve">An old soldier with gangrene creeping black up his neck from an old wound, lying on a stained hospital pillow under coarse linen, freshly dead, skin still waxy-pale, blood barely dry</t>
  </si>
  <si>
    <t xml:space="preserve">hospital-09.png</t>
  </si>
  <si>
    <t xml:space="preserve">Hospital 10</t>
  </si>
  <si>
    <t xml:space="preserve">A woman with a slashed throat clumsily sutured, dried blood in the pillow, lying on a stained hospital pillow under coarse linen, freshly dead, skin still waxy-pale, blood barely dry</t>
  </si>
  <si>
    <t xml:space="preserve">hospital-10.png</t>
  </si>
  <si>
    <t xml:space="preserve">Hospital 11</t>
  </si>
  <si>
    <t xml:space="preserve">A stout baker, face mottled purple from apoplexy, foam dried at the lips, lying on a stained hospital pillow under coarse linen, freshly dead, skin still waxy-pale, blood barely dry</t>
  </si>
  <si>
    <t xml:space="preserve">hospital-11.png</t>
  </si>
  <si>
    <t xml:space="preserve">Hospital 12</t>
  </si>
  <si>
    <t xml:space="preserve">A thin young man with a bloody chest tube wound, ribs showing through the skin, lying on a stained hospital pillow under coarse linen, freshly dead, skin still waxy-pale, blood barely dry</t>
  </si>
  <si>
    <t xml:space="preserve">hospital-12.png</t>
  </si>
  <si>
    <t xml:space="preserve">Hospital 13</t>
  </si>
  <si>
    <t xml:space="preserve">A woman with tight curls, lips split and swollen from a beating, bruised eye, lying on a stained hospital pillow under coarse linen, freshly dead, skin still waxy-pale, blood barely dry</t>
  </si>
  <si>
    <t xml:space="preserve">hospital-13.png</t>
  </si>
  <si>
    <t xml:space="preserve">Hospital 14</t>
  </si>
  <si>
    <t xml:space="preserve">A white-haired old man with a stab wound under the ribs, linen stiff with blood, lying on a stained hospital pillow under coarse linen, dead a day or two, lividity pooling purple, lips greying</t>
  </si>
  <si>
    <t xml:space="preserve">hospital-14.png</t>
  </si>
  <si>
    <t xml:space="preserve">Morgue 01</t>
  </si>
  <si>
    <t xml:space="preserve">Morgue</t>
  </si>
  <si>
    <t xml:space="preserve">A drowned woman from the Seine, wild wet hair full of river weed, face swollen and blotched, lying on a cold stone morgue slab, a sheet pulled down to the chest, dead a day or two, lividity pooling purple, lips greying</t>
  </si>
  <si>
    <t xml:space="preserve">morgue-01.png</t>
  </si>
  <si>
    <t xml:space="preserve">Morgue 02</t>
  </si>
  <si>
    <t xml:space="preserve">A drowned old bargeman, skin wrinkled white and peeling from the water, eyes clouded, lying on a cold stone morgue slab, a sheet pulled down to the chest, dead a week, bloated, marbled green veins under the skin, skin slipping at the edges</t>
  </si>
  <si>
    <t xml:space="preserve">morgue-02.png</t>
  </si>
  <si>
    <t xml:space="preserve">Morgue 03</t>
  </si>
  <si>
    <t xml:space="preserve">A young woman with a deep stab wound at the throat, dark blood clotted in her collarbone, lying on a cold stone morgue slab, a sheet pulled down to the chest, dead a week, bloated, marbled green veins under the skin, skin slipping at the edges</t>
  </si>
  <si>
    <t xml:space="preserve">morgue-03.png</t>
  </si>
  <si>
    <t xml:space="preserve">Morgue 04</t>
  </si>
  <si>
    <t xml:space="preserve">A woman with her lower face torn and bloody from a fall, teeth broken, lying on a cold stone morgue slab, a sheet pulled down to the chest, dead a week, bloated, marbled green veins under the skin, skin slipping at the edges</t>
  </si>
  <si>
    <t xml:space="preserve">morgue-04.png</t>
  </si>
  <si>
    <t xml:space="preserve">Morgue 05</t>
  </si>
  <si>
    <t xml:space="preserve">A broad-shouldered man with knife wounds across his shoulder, flesh flayed back, lying on a cold stone morgue slab, a sheet pulled down to the chest, dead a week, bloated, marbled green veins under the skin, skin slipping at the edges</t>
  </si>
  <si>
    <t xml:space="preserve">morgue-05.png</t>
  </si>
  <si>
    <t xml:space="preserve">Morgue 06</t>
  </si>
  <si>
    <t xml:space="preserve">A middle-aged woman pulled from the river after a week, bloated and green-veined, lying on a cold stone morgue slab, a sheet pulled down to the chest, dead a week, bloated, marbled green veins under the skin, skin slipping at the edges</t>
  </si>
  <si>
    <t xml:space="preserve">morgue-06.png</t>
  </si>
  <si>
    <t xml:space="preserve">Morgue 07</t>
  </si>
  <si>
    <t xml:space="preserve">An old labourer with a crushed skull, matted hair, a dent above the ear, lying on a cold stone morgue slab, a sheet pulled down to the chest, dead a week, bloated, marbled green veins under the skin, skin slipping at the edges</t>
  </si>
  <si>
    <t xml:space="preserve">morgue-07.png</t>
  </si>
  <si>
    <t xml:space="preserve">Morgue 08</t>
  </si>
  <si>
    <t xml:space="preserve">A pale young girl of twenty with a slashed neck, black hair fanned on the slab, lying on a cold stone morgue slab, a sheet pulled down to the chest, dead a week, bloated, marbled green veins under the skin, skin slipping at the edges</t>
  </si>
  <si>
    <t xml:space="preserve">morgue-08.png</t>
  </si>
  <si>
    <t xml:space="preserve">Morgue 09</t>
  </si>
  <si>
    <t xml:space="preserve">A young rake with a duelling wound in his chest, shirt torn open, bruising spreading, lying on a cold stone morgue slab, a sheet pulled down to the chest, dead a day or two, lividity pooling purple, lips greying</t>
  </si>
  <si>
    <t xml:space="preserve">morgue-09.png</t>
  </si>
  <si>
    <t xml:space="preserve">Morgue 10</t>
  </si>
  <si>
    <t xml:space="preserve">A woman frozen in the street, lips black, frost still in her lashes, lying on a cold stone morgue slab, a sheet pulled down to the chest, dead a day or two, lividity pooling purple, lips greying</t>
  </si>
  <si>
    <t xml:space="preserve">morgue-10.png</t>
  </si>
  <si>
    <t xml:space="preserve">Morgue 11</t>
  </si>
  <si>
    <t xml:space="preserve">An old man found in a cellar, face half-eaten by rats, lying on a cold stone morgue slab, a sheet pulled down to the chest, dead a day or two, lividity pooling purple, lips greying</t>
  </si>
  <si>
    <t xml:space="preserve">morgue-11.png</t>
  </si>
  <si>
    <t xml:space="preserve">Morgue 12</t>
  </si>
  <si>
    <t xml:space="preserve">A young woman with a garrotte mark cutting deep into her neck, lying on a cold stone morgue slab, a sheet pulled down to the chest, dead a day or two, lividity pooling purple, lips greying</t>
  </si>
  <si>
    <t xml:space="preserve">morgue-12.png</t>
  </si>
  <si>
    <t xml:space="preserve">Morgue 13</t>
  </si>
  <si>
    <t xml:space="preserve">A drowned student, face swollen tight, a wound at the temple from the bridge pillar, lying on a cold stone morgue slab, a sheet pulled down to the chest, dead a day or two, lividity pooling purple, lips greying</t>
  </si>
  <si>
    <t xml:space="preserve">morgue-13.png</t>
  </si>
  <si>
    <t xml:space="preserve">Morgue 14</t>
  </si>
  <si>
    <t xml:space="preserve">A burly carter crushed under his own wagon, chest caved in, a broken arm folded wrong, lying on a cold stone morgue slab, a sheet pulled down to the chest, dead a day or two, lividity pooling purple, lips greying</t>
  </si>
  <si>
    <t xml:space="preserve">morgue-14.png</t>
  </si>
  <si>
    <t xml:space="preserve">Public Square 01</t>
  </si>
  <si>
    <t xml:space="preserve">Public Square</t>
  </si>
  <si>
    <t xml:space="preserve">An executed highwayman, the guillotine cut clean through his neck, head laid back against the stump, dumped on wet cobblestones beside the scaffold, straw soaked dark, freshly dead, skin still waxy-pale, blood barely dry</t>
  </si>
  <si>
    <t xml:space="preserve">square-01.png</t>
  </si>
  <si>
    <t xml:space="preserve">Public Square 02</t>
  </si>
  <si>
    <t xml:space="preserve">An executed young woman forger, dark hair cropped for the blade, blood pooling under the neck, dumped on wet cobblestones beside the scaffold, straw soaked dark, freshly dead, skin still waxy-pale, blood barely dry</t>
  </si>
  <si>
    <t xml:space="preserve">square-02.png</t>
  </si>
  <si>
    <t xml:space="preserve">Public Square 03</t>
  </si>
  <si>
    <t xml:space="preserve">An executed army deserter, neck severed, eyes half open, shirt collar cut away, dumped on wet cobblestones beside the scaffold, straw soaked dark, freshly dead, skin still waxy-pale, blood barely dry</t>
  </si>
  <si>
    <t xml:space="preserve">square-03.png</t>
  </si>
  <si>
    <t xml:space="preserve">Public Square 04</t>
  </si>
  <si>
    <t xml:space="preserve">An executed poisoner, grey hair hacked short, a crust of blood along the cut, dumped on wet cobblestones beside the scaffold, straw soaked dark, freshly dead, skin still waxy-pale, blood barely dry</t>
  </si>
  <si>
    <t xml:space="preserve">square-04.png</t>
  </si>
  <si>
    <t xml:space="preserve">Public Square 05</t>
  </si>
  <si>
    <t xml:space="preserve">An executed counterfeiter, heavy jaw slack, the clean red ring of the blade at his neck, dumped on wet cobblestones beside the scaffold, straw soaked dark, freshly dead, skin still waxy-pale, blood barely dry</t>
  </si>
  <si>
    <t xml:space="preserve">square-05.png</t>
  </si>
  <si>
    <t xml:space="preserve">Public Square 06</t>
  </si>
  <si>
    <t xml:space="preserve">An executed arsonist, soot still on his face, neck wound raw and wet, dumped on wet cobblestones beside the scaffold, straw soaked dark, freshly dead, skin still waxy-pale, blood barely dry</t>
  </si>
  <si>
    <t xml:space="preserve">square-06.png</t>
  </si>
  <si>
    <t xml:space="preserve">Public Square 07</t>
  </si>
  <si>
    <t xml:space="preserve">An executed woman murderer, hair shorn, collar torn open, blood on the cobbles beneath, dumped on wet cobblestones beside the scaffold, straw soaked dark, freshly dead, skin still waxy-pale, blood barely dry</t>
  </si>
  <si>
    <t xml:space="preserve">square-07.png</t>
  </si>
  <si>
    <t xml:space="preserve">Public Square 08</t>
  </si>
  <si>
    <t xml:space="preserve">An executed robber with a broken nose, bruises from the crowd, neck stump dark, dumped on wet cobblestones beside the scaffold, straw soaked dark, freshly dead, skin still waxy-pale, blood barely dry</t>
  </si>
  <si>
    <t xml:space="preserve">square-08.png</t>
  </si>
  <si>
    <t xml:space="preserve">Public Square 09</t>
  </si>
  <si>
    <t xml:space="preserve">An executed street thief, very young, the cut neck glistening in the lantern light, dumped on wet cobblestones beside the scaffold, straw soaked dark, freshly dead, skin still waxy-pale, blood barely dry</t>
  </si>
  <si>
    <t xml:space="preserve">square-09.png</t>
  </si>
  <si>
    <t xml:space="preserve">Public Square 10</t>
  </si>
  <si>
    <t xml:space="preserve">Big Gustave, the butcher of Rungis</t>
  </si>
  <si>
    <t xml:space="preserve">Big Gustave the butcher of Rungis, executed, an enormous man with a vast slack face, the blade wound across a thick neck, dumped on wet cobblestones beside the scaffold, straw soaked dark, freshly dead, skin still waxy-pale, blood barely dry</t>
  </si>
  <si>
    <t xml:space="preserve">square-10.png</t>
  </si>
  <si>
    <t xml:space="preserve">Name</t>
  </si>
  <si>
    <t xml:space="preserve">Cost (f)</t>
  </si>
  <si>
    <t xml:space="preserve">Materials option</t>
  </si>
  <si>
    <t xml:space="preserve">Humanity option</t>
  </si>
  <si>
    <t xml:space="preserve">Scoundrel 01</t>
  </si>
  <si>
    <t xml:space="preserve">Hospital Thief</t>
  </si>
  <si>
    <t xml:space="preserve">Draw 2 Hospital bodies and resolve</t>
  </si>
  <si>
    <t xml:space="preserve">A hulking hospital porter with a black beard carrying a sheet-wrapped corpse over his shoulder</t>
  </si>
  <si>
    <t xml:space="preserve">scoundrel-01.png</t>
  </si>
  <si>
    <t xml:space="preserve">Scoundrel 02</t>
  </si>
  <si>
    <t xml:space="preserve">A hard-faced nurse in a stained apron and cap, a covered trolley behind her</t>
  </si>
  <si>
    <t xml:space="preserve">scoundrel-02.png</t>
  </si>
  <si>
    <t xml:space="preserve">Scoundrel 03</t>
  </si>
  <si>
    <t xml:space="preserve">Draw 1 Hospital body and resolve</t>
  </si>
  <si>
    <t xml:space="preserve">A sly hospital orderly with a ring of keys, a sheet-covered trolley behind him</t>
  </si>
  <si>
    <t xml:space="preserve">scoundrel-03.png</t>
  </si>
  <si>
    <t xml:space="preserve">Scoundrel 04</t>
  </si>
  <si>
    <t xml:space="preserve">A pale girl with bloody sleeves pushing a trolley under a dirty sheet</t>
  </si>
  <si>
    <t xml:space="preserve">scoundrel-04.png</t>
  </si>
  <si>
    <t xml:space="preserve">Scoundrel 05</t>
  </si>
  <si>
    <t xml:space="preserve">Dog Catcher</t>
  </si>
  <si>
    <t xml:space="preserve">8 animal (I)</t>
  </si>
  <si>
    <t xml:space="preserve">+3 (-1 humanity)</t>
  </si>
  <si>
    <t xml:space="preserve">+5</t>
  </si>
  <si>
    <t xml:space="preserve">A dog catcher in a ragged hat and coat with a long net pole, a cage of strays behind</t>
  </si>
  <si>
    <t xml:space="preserve">scoundrel-05.png</t>
  </si>
  <si>
    <t xml:space="preserve">Scoundrel 06</t>
  </si>
  <si>
    <t xml:space="preserve">5 animal (I)</t>
  </si>
  <si>
    <t xml:space="preserve">+2 (-1 humanity)</t>
  </si>
  <si>
    <t xml:space="preserve">+3</t>
  </si>
  <si>
    <t xml:space="preserve">A heavy old dog catcher with a coil of rope and a muzzle pole, his cart behind him</t>
  </si>
  <si>
    <t xml:space="preserve">scoundrel-06.png</t>
  </si>
  <si>
    <t xml:space="preserve">Scoundrel 07</t>
  </si>
  <si>
    <t xml:space="preserve">4 animal (I)</t>
  </si>
  <si>
    <t xml:space="preserve">A sharp-faced young woman with a black fringe holding a muzzle pole</t>
  </si>
  <si>
    <t xml:space="preserve">scoundrel-07.png</t>
  </si>
  <si>
    <t xml:space="preserve">Scoundrel 08</t>
  </si>
  <si>
    <t xml:space="preserve">A boy in a feathered hat and green coat with a snare noose</t>
  </si>
  <si>
    <t xml:space="preserve">scoundrel-08.png</t>
  </si>
  <si>
    <t xml:space="preserve">Scoundrel 09</t>
  </si>
  <si>
    <t xml:space="preserve">Cutthroat</t>
  </si>
  <si>
    <t xml:space="preserve">4 muscle (I), 4 organ (I), 4 blood (I), 3 bone</t>
  </si>
  <si>
    <t xml:space="preserve">+2</t>
  </si>
  <si>
    <t xml:space="preserve">A smiling gentleman in a dark coat, a thin knife glinting in his gloved hand</t>
  </si>
  <si>
    <t xml:space="preserve">scoundrel-09.png</t>
  </si>
  <si>
    <t xml:space="preserve">Scoundrel 10</t>
  </si>
  <si>
    <t xml:space="preserve">3 muscle (I), 3 organ (I), 3 blood (I), 3 bone</t>
  </si>
  <si>
    <t xml:space="preserve">A hooded woman in a burgundy cloak, blade hidden in the folds</t>
  </si>
  <si>
    <t xml:space="preserve">scoundrel-10.png</t>
  </si>
  <si>
    <t xml:space="preserve">Scoundrel 11</t>
  </si>
  <si>
    <t xml:space="preserve">4 muscle (I), 3 organ (I), 3 blood (I), 2 bone</t>
  </si>
  <si>
    <t xml:space="preserve">A woman in a black cloak and red scarf in an alley doorway, a bloody cleaver at her side</t>
  </si>
  <si>
    <t xml:space="preserve">scoundrel-11.png</t>
  </si>
  <si>
    <t xml:space="preserve">Scoundrel 12</t>
  </si>
  <si>
    <t xml:space="preserve">3 muscle (I), 4 organ (I), 3 blood (I), 3 bone</t>
  </si>
  <si>
    <t xml:space="preserve">A scarred knife-sharpener with a whetstone, rolled sleeves stained red</t>
  </si>
  <si>
    <t xml:space="preserve">scoundrel-12.png</t>
  </si>
  <si>
    <t xml:space="preserve">Scoundrel 13</t>
  </si>
  <si>
    <t xml:space="preserve">Body Snatcher</t>
  </si>
  <si>
    <t xml:space="preserve">6 muscle (III), 4 organ (III), 5 bone</t>
  </si>
  <si>
    <t xml:space="preserve">A gravedigger with a long spade over his shoulder, moonlit fog behind</t>
  </si>
  <si>
    <t xml:space="preserve">scoundrel-13.png</t>
  </si>
  <si>
    <t xml:space="preserve">Scoundrel 14</t>
  </si>
  <si>
    <t xml:space="preserve">4 muscle (III), 4 organ (III), 3 bone</t>
  </si>
  <si>
    <t xml:space="preserve">+1</t>
  </si>
  <si>
    <t xml:space="preserve">A body snatcher in a battered top hat and green coat, rope and hook in hand</t>
  </si>
  <si>
    <t xml:space="preserve">scoundrel-14.png</t>
  </si>
  <si>
    <t xml:space="preserve">Scoundrel 15</t>
  </si>
  <si>
    <t xml:space="preserve">4 muscle (III), 3 organ (III), 4 bone</t>
  </si>
  <si>
    <t xml:space="preserve">A tidy young widow in mourning blue with a sack over her shoulder</t>
  </si>
  <si>
    <t xml:space="preserve">scoundrel-15.png</t>
  </si>
  <si>
    <t xml:space="preserve">Scoundrel 16</t>
  </si>
  <si>
    <t xml:space="preserve">The Bone Collector</t>
  </si>
  <si>
    <t xml:space="preserve">8 bone</t>
  </si>
  <si>
    <t xml:space="preserve">An old man in a wide-brimmed hat leaning on a stick, a sack of bones at his feet</t>
  </si>
  <si>
    <t xml:space="preserve">scoundrel-16.png</t>
  </si>
  <si>
    <t xml:space="preserve">When</t>
  </si>
  <si>
    <t xml:space="preserve">Effect</t>
  </si>
  <si>
    <t xml:space="preserve">Gain</t>
  </si>
  <si>
    <t xml:space="preserve">Dice mitigation</t>
  </si>
  <si>
    <t xml:space="preserve">Research 01</t>
  </si>
  <si>
    <t xml:space="preserve">Countermeasures</t>
  </si>
  <si>
    <t xml:space="preserve">react</t>
  </si>
  <si>
    <t xml:space="preserve">Cancels a rival’s humanity card aimed at you (used automatically).</t>
  </si>
  <si>
    <t xml:space="preserve">+2f</t>
  </si>
  <si>
    <t xml:space="preserve">Ignore all bolts</t>
  </si>
  <si>
    <t xml:space="preserve">A wax-sealed letter of warning lying on a desk beside a dagger</t>
  </si>
  <si>
    <t xml:space="preserve">4:3</t>
  </si>
  <si>
    <t xml:space="preserve">research-01.png</t>
  </si>
  <si>
    <t xml:space="preserve">Research 02</t>
  </si>
  <si>
    <t xml:space="preserve">Unethical Experiment</t>
  </si>
  <si>
    <t xml:space="preserve">alley</t>
  </si>
  <si>
    <t xml:space="preserve">At the Dark Alley or hiring a Cutthroat: spend 1 charged jar and skip the normal benefit.</t>
  </si>
  <si>
    <t xml:space="preserve">+5 expertise, -1 humanity</t>
  </si>
  <si>
    <t xml:space="preserve">Re-roll any dice</t>
  </si>
  <si>
    <t xml:space="preserve">A living man strapped to a table, a galvanic arc crawling over his chest</t>
  </si>
  <si>
    <t xml:space="preserve">research-02.png</t>
  </si>
  <si>
    <t xml:space="preserve">Research 03</t>
  </si>
  <si>
    <t xml:space="preserve">Pickling Jars</t>
  </si>
  <si>
    <t xml:space="preserve">market</t>
  </si>
  <si>
    <t xml:space="preserve">At the Market: +1f for every sale of preserved flesh.</t>
  </si>
  <si>
    <t xml:space="preserve">Ignore broken hearts</t>
  </si>
  <si>
    <t xml:space="preserve">Shelves of glass pickling jars holding organs in cloudy fluid</t>
  </si>
  <si>
    <t xml:space="preserve">research-03.png</t>
  </si>
  <si>
    <t xml:space="preserve">Research 04</t>
  </si>
  <si>
    <t xml:space="preserve">Steady Hands</t>
  </si>
  <si>
    <t xml:space="preserve">build</t>
  </si>
  <si>
    <t xml:space="preserve">When building a part: need 1 fewer of each material.</t>
  </si>
  <si>
    <t xml:space="preserve">+2 expertise</t>
  </si>
  <si>
    <t xml:space="preserve">Re-roll dice showing bolts</t>
  </si>
  <si>
    <t xml:space="preserve">An anatomist’s hands drawing a curved needle through a stitched seam of flesh</t>
  </si>
  <si>
    <t xml:space="preserve">research-04.png</t>
  </si>
  <si>
    <t xml:space="preserve">Research 05</t>
  </si>
  <si>
    <t xml:space="preserve">Private Pupil</t>
  </si>
  <si>
    <t xml:space="preserve">any</t>
  </si>
  <si>
    <t xml:space="preserve">Take on a wealthy pupil.</t>
  </si>
  <si>
    <t xml:space="preserve">+2 reputation, +3f</t>
  </si>
  <si>
    <t xml:space="preserve">A rich young pupil in fine clothes watching a demonstration, purse on the table</t>
  </si>
  <si>
    <t xml:space="preserve">research-05.png</t>
  </si>
  <si>
    <t xml:space="preserve">Research 06</t>
  </si>
  <si>
    <t xml:space="preserve">Guest Lecturer</t>
  </si>
  <si>
    <t xml:space="preserve">lecture</t>
  </si>
  <si>
    <t xml:space="preserve">When lecturing: gain this as well.</t>
  </si>
  <si>
    <t xml:space="preserve">+2 reputation, +2f</t>
  </si>
  <si>
    <t xml:space="preserve">A crowded candlelit lecture theatre, a shrouded body on the demonstration table</t>
  </si>
  <si>
    <t xml:space="preserve">research-06.png</t>
  </si>
  <si>
    <t xml:space="preserve">Research 07</t>
  </si>
  <si>
    <t xml:space="preserve">Healing Salve</t>
  </si>
  <si>
    <t xml:space="preserve">Remove all damage from your parts.</t>
  </si>
  <si>
    <t xml:space="preserve">Re-roll gray dice</t>
  </si>
  <si>
    <t xml:space="preserve">A pot of salve, linen bandages and a scalpel beside a stitched limb</t>
  </si>
  <si>
    <t xml:space="preserve">research-07.png</t>
  </si>
  <si>
    <t xml:space="preserve">Research 08</t>
  </si>
  <si>
    <t xml:space="preserve">Burning the Candle</t>
  </si>
  <si>
    <t xml:space="preserve">turn</t>
  </si>
  <si>
    <t xml:space="preserve">On your turn: use one of your placed meeples’ spaces again, paying its costs. It is not a new placement.</t>
  </si>
  <si>
    <t xml:space="preserve">Re-roll blue dice</t>
  </si>
  <si>
    <t xml:space="preserve">A candle burnt to the stub over heaps of notes and an open skull</t>
  </si>
  <si>
    <t xml:space="preserve">research-08.png</t>
  </si>
  <si>
    <t xml:space="preserve">Research 09</t>
  </si>
  <si>
    <t xml:space="preserve">Fresh as Morning</t>
  </si>
  <si>
    <t xml:space="preserve">cadaver</t>
  </si>
  <si>
    <t xml:space="preserve">When resolving a cadaver: its materials count as stage I.</t>
  </si>
  <si>
    <t xml:space="preserve">Fresh white flowers laid on a pale chest, morning light through a window</t>
  </si>
  <si>
    <t xml:space="preserve">research-09.png</t>
  </si>
  <si>
    <t xml:space="preserve">Research 10</t>
  </si>
  <si>
    <t xml:space="preserve">Close Dissection</t>
  </si>
  <si>
    <t xml:space="preserve">cadaver12</t>
  </si>
  <si>
    <t xml:space="preserve">When resolving a stage I or II cadaver: pay its cost, discard it, gain this instead.</t>
  </si>
  <si>
    <t xml:space="preserve">+4 expertise</t>
  </si>
  <si>
    <t xml:space="preserve">An open dissection with organs pinned and labelled on a board</t>
  </si>
  <si>
    <t xml:space="preserve">research-10.png</t>
  </si>
  <si>
    <t xml:space="preserve">Research 11</t>
  </si>
  <si>
    <t xml:space="preserve">Evening Study</t>
  </si>
  <si>
    <t xml:space="preserve">Read late into the night.</t>
  </si>
  <si>
    <t xml:space="preserve">A scholar asleep over an anatomy book by candlelight</t>
  </si>
  <si>
    <t xml:space="preserve">research-11.png</t>
  </si>
  <si>
    <t xml:space="preserve">Research 12</t>
  </si>
  <si>
    <t xml:space="preserve">Practical Study</t>
  </si>
  <si>
    <t xml:space="preserve">Practise on a cat.</t>
  </si>
  <si>
    <t xml:space="preserve">+3 expertise</t>
  </si>
  <si>
    <t xml:space="preserve">A dead cat pinned on a dissection board, scalpels laid out</t>
  </si>
  <si>
    <t xml:space="preserve">research-12.png</t>
  </si>
  <si>
    <t xml:space="preserve">Research 13</t>
  </si>
  <si>
    <t xml:space="preserve">Electrolysis</t>
  </si>
  <si>
    <t xml:space="preserve">cadaver123</t>
  </si>
  <si>
    <t xml:space="preserve">When resolving a stage I to III cadaver: spend 1 charged jar, pay its cost, discard it, gain this instead.</t>
  </si>
  <si>
    <t xml:space="preserve">+4 expertise, +2 reputation</t>
  </si>
  <si>
    <t xml:space="preserve">An electrolysis cell bubbling around a heart in a glass dish, blue sparks</t>
  </si>
  <si>
    <t xml:space="preserve">research-13.png</t>
  </si>
  <si>
    <t xml:space="preserve">Research 14</t>
  </si>
  <si>
    <t xml:space="preserve">Public Galvanism</t>
  </si>
  <si>
    <t xml:space="preserve">Spend 1 charged jar and 2 animal to make a dead dog dance for a crowd.</t>
  </si>
  <si>
    <t xml:space="preserve">+3 expertise, +2 reputation, +1f, -1 humanity</t>
  </si>
  <si>
    <t xml:space="preserve">A dead dog twitching on a table before a gasping crowd, blue current in the wires</t>
  </si>
  <si>
    <t xml:space="preserve">research-14.png</t>
  </si>
  <si>
    <t xml:space="preserve">Research 15</t>
  </si>
  <si>
    <t xml:space="preserve">Transfusion</t>
  </si>
  <si>
    <t xml:space="preserve">blood</t>
  </si>
  <si>
    <t xml:space="preserve">When giving blood: gain this instead of the blood.</t>
  </si>
  <si>
    <t xml:space="preserve">+3 expertise, +1 reputation, +1f</t>
  </si>
  <si>
    <t xml:space="preserve">A brass transfusion apparatus joining two arms with a tube of blood</t>
  </si>
  <si>
    <t xml:space="preserve">research-15.png</t>
  </si>
  <si>
    <t xml:space="preserve">Research 16</t>
  </si>
  <si>
    <t xml:space="preserve">Publish a Paper</t>
  </si>
  <si>
    <t xml:space="preserve">On your turn: your unplaced scientist sits out this round to write.</t>
  </si>
  <si>
    <t xml:space="preserve">+2 expertise, +3 reputation, +1f</t>
  </si>
  <si>
    <t xml:space="preserve">A hand press printing an anatomical treatise, fresh pages hanging to dry</t>
  </si>
  <si>
    <t xml:space="preserve">research-16.png</t>
  </si>
  <si>
    <t xml:space="preserve">Cost</t>
  </si>
  <si>
    <t xml:space="preserve">Humanity 01</t>
  </si>
  <si>
    <t xml:space="preserve">Whisper to the Captain</t>
  </si>
  <si>
    <t xml:space="preserve">aid</t>
  </si>
  <si>
    <t xml:space="preserve">Pay 1f: the Captain moves 1 step closer to the end. Not from Day 11. One aid card per day.</t>
  </si>
  <si>
    <t xml:space="preserve">1f</t>
  </si>
  <si>
    <t xml:space="preserve">+2 humanity</t>
  </si>
  <si>
    <t xml:space="preserve">Whispering to an old grey-bearded sea captain in a fur-collared coat in a tavern corner</t>
  </si>
  <si>
    <t xml:space="preserve">humanity-01.png</t>
  </si>
  <si>
    <t xml:space="preserve">Humanity 02</t>
  </si>
  <si>
    <t xml:space="preserve">Fund the Captain</t>
  </si>
  <si>
    <t xml:space="preserve">Pay 2f: the Captain moves 1 step closer to the end. Not from Day 11. One aid card per day.</t>
  </si>
  <si>
    <t xml:space="preserve">2f</t>
  </si>
  <si>
    <t xml:space="preserve">+3 humanity</t>
  </si>
  <si>
    <t xml:space="preserve">Coins pressed into the gloved hand of an old sea captain</t>
  </si>
  <si>
    <t xml:space="preserve">humanity-02.png</t>
  </si>
  <si>
    <t xml:space="preserve">Humanity 03</t>
  </si>
  <si>
    <t xml:space="preserve">Tell the Captain Everything</t>
  </si>
  <si>
    <t xml:space="preserve">The Captain moves 1 step closer to the end. Not from Day 11. One aid card per day.</t>
  </si>
  <si>
    <t xml:space="preserve">+1 humanity</t>
  </si>
  <si>
    <t xml:space="preserve">Confessing at a table to an old sea captain with a pistol on the table</t>
  </si>
  <si>
    <t xml:space="preserve">humanity-03.png</t>
  </si>
  <si>
    <t xml:space="preserve">Humanity 04</t>
  </si>
  <si>
    <t xml:space="preserve">Petition the Prefect</t>
  </si>
  <si>
    <t xml:space="preserve">All cadavers waiting at the Hospital are given a burial.</t>
  </si>
  <si>
    <t xml:space="preserve">A petition being signed before a stern prefect at a desk</t>
  </si>
  <si>
    <t xml:space="preserve">humanity-04.png</t>
  </si>
  <si>
    <t xml:space="preserve">Humanity 05</t>
  </si>
  <si>
    <t xml:space="preserve">A Trap of Your Own</t>
  </si>
  <si>
    <t xml:space="preserve">When the Creature visits you, spend 1 charged jar to send him away.</t>
  </si>
  <si>
    <t xml:space="preserve">A spring trap and tripwire set inside a laboratory door</t>
  </si>
  <si>
    <t xml:space="preserve">humanity-05.png</t>
  </si>
  <si>
    <t xml:space="preserve">Humanity 06</t>
  </si>
  <si>
    <t xml:space="preserve">Royal Pardon</t>
  </si>
  <si>
    <t xml:space="preserve">When an execution is announced, pay 2f to stop it.</t>
  </si>
  <si>
    <t xml:space="preserve">+2 reputation, +2 humanity</t>
  </si>
  <si>
    <t xml:space="preserve">A royal pardon with a red wax seal, the guillotine blurred behind</t>
  </si>
  <si>
    <t xml:space="preserve">humanity-06.png</t>
  </si>
  <si>
    <t xml:space="preserve">Humanity 07</t>
  </si>
  <si>
    <t xml:space="preserve">A Decent Burial</t>
  </si>
  <si>
    <t xml:space="preserve">square</t>
  </si>
  <si>
    <t xml:space="preserve">When buying a body at the Public Square, bury it instead.</t>
  </si>
  <si>
    <t xml:space="preserve">+2 reputation, +3 humanity</t>
  </si>
  <si>
    <t xml:space="preserve">A plain coffin lowered into a grave with a handful of flowers</t>
  </si>
  <si>
    <t xml:space="preserve">humanity-07.png</t>
  </si>
  <si>
    <t xml:space="preserve">Humanity 08</t>
  </si>
  <si>
    <t xml:space="preserve">Night at the Graves</t>
  </si>
  <si>
    <t xml:space="preserve">The Cemetery and hiring Body Snatchers are closed for the rest of today.</t>
  </si>
  <si>
    <t xml:space="preserve">A lantern vigil among tombstones at night, a cloaked watcher</t>
  </si>
  <si>
    <t xml:space="preserve">humanity-08.png</t>
  </si>
  <si>
    <t xml:space="preserve">Humanity 09</t>
  </si>
  <si>
    <t xml:space="preserve">Shame the Morgue</t>
  </si>
  <si>
    <t xml:space="preserve">The Morgue is closed for the rest of today.</t>
  </si>
  <si>
    <t xml:space="preserve">The morgue doors chained shut with a notice nailed to them</t>
  </si>
  <si>
    <t xml:space="preserve">humanity-09.png</t>
  </si>
  <si>
    <t xml:space="preserve">Humanity 10</t>
  </si>
  <si>
    <t xml:space="preserve">Mercy for Beasts</t>
  </si>
  <si>
    <t xml:space="preserve">When lecturing, argue against vivisection instead of gaining the normal benefit.</t>
  </si>
  <si>
    <t xml:space="preserve">Cage doors opened and stray dogs running into the night</t>
  </si>
  <si>
    <t xml:space="preserve">humanity-10.png</t>
  </si>
  <si>
    <t xml:space="preserve">Humanity 11</t>
  </si>
  <si>
    <t xml:space="preserve">Walk the Quays</t>
  </si>
  <si>
    <t xml:space="preserve">The Docks are closed for the rest of today.</t>
  </si>
  <si>
    <t xml:space="preserve">A lone figure with a lantern walking the foggy quays of the Seine</t>
  </si>
  <si>
    <t xml:space="preserve">humanity-11.png</t>
  </si>
  <si>
    <t xml:space="preserve">Humanity 12</t>
  </si>
  <si>
    <t xml:space="preserve">Cut the Wires</t>
  </si>
  <si>
    <t xml:space="preserve">target</t>
  </si>
  <si>
    <t xml:space="preserve">Choose a rival: their next throw of the switch loses 1 die.</t>
  </si>
  <si>
    <t xml:space="preserve">Cut copper wires dangling from a Leyden jar, pliers beside it</t>
  </si>
  <si>
    <t xml:space="preserve">humanity-12.png</t>
  </si>
  <si>
    <t xml:space="preserve">Humanity 13</t>
  </si>
  <si>
    <t xml:space="preserve">Cross Their Path</t>
  </si>
  <si>
    <t xml:space="preserve">The next rival to place in Paris must choose a different space.</t>
  </si>
  <si>
    <t xml:space="preserve">A hand on a chest blocking a narrow street doorway</t>
  </si>
  <si>
    <t xml:space="preserve">humanity-13.png</t>
  </si>
  <si>
    <t xml:space="preserve">Humanity 14</t>
  </si>
  <si>
    <t xml:space="preserve">The Dignity of the Dead</t>
  </si>
  <si>
    <t xml:space="preserve">When lecturing, speak for the dead instead of gaining the normal benefit.</t>
  </si>
  <si>
    <t xml:space="preserve">A speaker at a lectern beside a shrouded body, hand raised</t>
  </si>
  <si>
    <t xml:space="preserve">humanity-14.png</t>
  </si>
  <si>
    <t xml:space="preserve">Humanity 15</t>
  </si>
  <si>
    <t xml:space="preserve">Urchin Raid</t>
  </si>
  <si>
    <t xml:space="preserve">Choose a rival: throw away up to 3 of their materials, one of each colour.</t>
  </si>
  <si>
    <t xml:space="preserve">Street urchins running off down an alley with stolen specimen jars</t>
  </si>
  <si>
    <t xml:space="preserve">humanity-15.png</t>
  </si>
  <si>
    <t xml:space="preserve">Humanity 16</t>
  </si>
  <si>
    <t xml:space="preserve">A Careless Lantern</t>
  </si>
  <si>
    <t xml:space="preserve">Choose a rival with 2+ research cards: one of them burns.</t>
  </si>
  <si>
    <t xml:space="preserve">An overturned lantern setting a pile of research papers alight</t>
  </si>
  <si>
    <t xml:space="preserve">humanity-16.png</t>
  </si>
  <si>
    <t xml:space="preserve">From day</t>
  </si>
  <si>
    <t xml:space="preserve">To day</t>
  </si>
  <si>
    <t xml:space="preserve">Lightning</t>
  </si>
  <si>
    <t xml:space="preserve">Execution</t>
  </si>
  <si>
    <t xml:space="preserve">Event 01</t>
  </si>
  <si>
    <t xml:space="preserve">A Porter for Hire</t>
  </si>
  <si>
    <t xml:space="preserve">At the Hospital, pay 1f to take one more cadaver than your reputation allows.</t>
  </si>
  <si>
    <t xml:space="preserve">A hospital porter pocketing coins beside a covered trolley</t>
  </si>
  <si>
    <t xml:space="preserve">event-01.png</t>
  </si>
  <si>
    <t xml:space="preserve">Event 02</t>
  </si>
  <si>
    <t xml:space="preserve">Glut of Meat</t>
  </si>
  <si>
    <t xml:space="preserve">Yes</t>
  </si>
  <si>
    <t xml:space="preserve">The Slaughterhouse gives 2 extra animal and 1f.</t>
  </si>
  <si>
    <t xml:space="preserve">Carcasses piled high in a slaughterhouse yard under a stormy sky with lightning</t>
  </si>
  <si>
    <t xml:space="preserve">event-02.png</t>
  </si>
  <si>
    <t xml:space="preserve">Event 03</t>
  </si>
  <si>
    <t xml:space="preserve">Hard Times</t>
  </si>
  <si>
    <t xml:space="preserve">No work at the Hospital. Lectures pay reputation only. Leyden jars: buy 1, get 1 free.</t>
  </si>
  <si>
    <t xml:space="preserve">A queue of hungry Parisians outside a shuttered bakery</t>
  </si>
  <si>
    <t xml:space="preserve">event-03.png</t>
  </si>
  <si>
    <t xml:space="preserve">Event 04</t>
  </si>
  <si>
    <t xml:space="preserve">An Anonymous Letter</t>
  </si>
  <si>
    <t xml:space="preserve">Anyone with humanity above 0 may take a humanity card. The kindest scientist hears a confession.</t>
  </si>
  <si>
    <t xml:space="preserve">An anonymous letter unfolded on a table in candlelight</t>
  </si>
  <si>
    <t xml:space="preserve">event-04.png</t>
  </si>
  <si>
    <t xml:space="preserve">Event 05</t>
  </si>
  <si>
    <t xml:space="preserve">Patrols at the Graves</t>
  </si>
  <si>
    <t xml:space="preserve">The Cemetery is closed. Every scoundrel costs 1f more.</t>
  </si>
  <si>
    <t xml:space="preserve">Gendarmes with lanterns patrolling between tombstones, lightning in the sky</t>
  </si>
  <si>
    <t xml:space="preserve">event-05.png</t>
  </si>
  <si>
    <t xml:space="preserve">Event 06</t>
  </si>
  <si>
    <t xml:space="preserve">Fire at the Academy</t>
  </si>
  <si>
    <t xml:space="preserve">The Academy is closed. Once today, anyone may pay 2f to gain 2 reputation for the rebuilding.</t>
  </si>
  <si>
    <t xml:space="preserve">The Academy library ablaze at night, books burning</t>
  </si>
  <si>
    <t xml:space="preserve">event-06.png</t>
  </si>
  <si>
    <t xml:space="preserve">Event 07</t>
  </si>
  <si>
    <t xml:space="preserve">Cattle Plague</t>
  </si>
  <si>
    <t xml:space="preserve">The Slaughterhouse is closed. Dog Catchers cost 1f more.</t>
  </si>
  <si>
    <t xml:space="preserve">Dead cattle lying in a muddy field, flies</t>
  </si>
  <si>
    <t xml:space="preserve">event-07.png</t>
  </si>
  <si>
    <t xml:space="preserve">Event 08</t>
  </si>
  <si>
    <t xml:space="preserve">Cholera</t>
  </si>
  <si>
    <t xml:space="preserve">Hospital shifts pay 2f more. The Cemetery and Morgue draw 1 extra card.</t>
  </si>
  <si>
    <t xml:space="preserve">Rows of cholera victims under sheets in a hospital ward, lightning at the windows</t>
  </si>
  <si>
    <t xml:space="preserve">event-08.png</t>
  </si>
  <si>
    <t xml:space="preserve">Event 09</t>
  </si>
  <si>
    <t xml:space="preserve">Student Parade</t>
  </si>
  <si>
    <t xml:space="preserve">Only scientists may go to the Academy.</t>
  </si>
  <si>
    <t xml:space="preserve">Students with banners and torches outside the Academy, gendarmes waiting</t>
  </si>
  <si>
    <t xml:space="preserve">event-09.png</t>
  </si>
  <si>
    <t xml:space="preserve">Event 10</t>
  </si>
  <si>
    <t xml:space="preserve">Loyalty Pledges</t>
  </si>
  <si>
    <t xml:space="preserve">Everyone pays 1f to gain 1 reputation, or loses 1 reputation.</t>
  </si>
  <si>
    <t xml:space="preserve">Citizens signing loyalty pledges under a Bourbon flag, a guillotine in the square</t>
  </si>
  <si>
    <t xml:space="preserve">event-10.png</t>
  </si>
  <si>
    <t xml:space="preserve">Event 11</t>
  </si>
  <si>
    <t xml:space="preserve">Student Riots</t>
  </si>
  <si>
    <t xml:space="preserve">The Dark Alley and the Docks are closed.</t>
  </si>
  <si>
    <t xml:space="preserve">Students throwing stones at a barricade, smoke and torches</t>
  </si>
  <si>
    <t xml:space="preserve">event-11.png</t>
  </si>
  <si>
    <t xml:space="preserve">Event 12</t>
  </si>
  <si>
    <t xml:space="preserve">A Dead Man’s Notes</t>
  </si>
  <si>
    <t xml:space="preserve">Anyone may lose 1 humanity to gain 2 expertise.</t>
  </si>
  <si>
    <t xml:space="preserve">A dead man’s notebook with anatomical sketches, lightning outside the window</t>
  </si>
  <si>
    <t xml:space="preserve">event-12.png</t>
  </si>
  <si>
    <t xml:space="preserve">Event 13</t>
  </si>
  <si>
    <t xml:space="preserve">All Saints’ Day</t>
  </si>
  <si>
    <t xml:space="preserve">Cemetery, Morgue, Hospital cadavers, Hospital Thieves and Body Snatchers all cost 1 extra humanity.</t>
  </si>
  <si>
    <t xml:space="preserve">Candles on graves on All Saints’ night, mourners in black</t>
  </si>
  <si>
    <t xml:space="preserve">event-13.png</t>
  </si>
  <si>
    <t xml:space="preserve">Event 14</t>
  </si>
  <si>
    <t xml:space="preserve">A Widow’s Bequest</t>
  </si>
  <si>
    <t xml:space="preserve">Research and lectures at the Academy pay 2f extra.</t>
  </si>
  <si>
    <t xml:space="preserve">A widow in black handing a purse to a professor, a guillotine visible through the window</t>
  </si>
  <si>
    <t xml:space="preserve">event-14.png</t>
  </si>
  <si>
    <t xml:space="preserve">Event 15</t>
  </si>
  <si>
    <t xml:space="preserve">The Captain’s Wrath</t>
  </si>
  <si>
    <t xml:space="preserve">Anyone with humanity below 3 loses 1 Leyden jar.</t>
  </si>
  <si>
    <t xml:space="preserve">An old sea captain smashing a Leyden jar with the butt of his pistol</t>
  </si>
  <si>
    <t xml:space="preserve">event-15.png</t>
  </si>
  <si>
    <t xml:space="preserve">Event 16</t>
  </si>
  <si>
    <t xml:space="preserve">Opening Night at the Odéon</t>
  </si>
  <si>
    <t xml:space="preserve">The theatre is a new location today: +2 reputation. Each player may go once. Anyone there can be bumped for free and goes home.</t>
  </si>
  <si>
    <t xml:space="preserve">The Théâtre de l’Odéon lit for opening night, carriages and a crowd</t>
  </si>
  <si>
    <t xml:space="preserve">event-16.png</t>
  </si>
  <si>
    <t xml:space="preserve">Event 17</t>
  </si>
  <si>
    <t xml:space="preserve">The Flesh Is Willing</t>
  </si>
  <si>
    <t xml:space="preserve">Every throw of the switch may re-roll up to 2 dice for free.</t>
  </si>
  <si>
    <t xml:space="preserve">A stitched body on a slab, its fingers beginning to curl toward a blue spark</t>
  </si>
  <si>
    <t xml:space="preserve">event-17.png</t>
  </si>
  <si>
    <t xml:space="preserve">Event 18</t>
  </si>
  <si>
    <t xml:space="preserve">Storm from the Sea</t>
  </si>
  <si>
    <t xml:space="preserve">The Cemetery and the Docks are closed.</t>
  </si>
  <si>
    <t xml:space="preserve">A storm sweeping in from the sea over the Seine, boats tossed, lightning</t>
  </si>
  <si>
    <t xml:space="preserve">event-18.png</t>
  </si>
  <si>
    <t xml:space="preserve">Event 19</t>
  </si>
  <si>
    <t xml:space="preserve">Inquiry at the Hospital</t>
  </si>
  <si>
    <t xml:space="preserve">The Hospital is closed.</t>
  </si>
  <si>
    <t xml:space="preserve">Gendarmes sealing the hospital doors with a notice of inquiry</t>
  </si>
  <si>
    <t xml:space="preserve">event-19.png</t>
  </si>
  <si>
    <t xml:space="preserve">Visitor</t>
  </si>
  <si>
    <t xml:space="preserve">Trigger / target</t>
  </si>
  <si>
    <t xml:space="preserve">Story</t>
  </si>
  <si>
    <t xml:space="preserve">Choice or test</t>
  </si>
  <si>
    <t xml:space="preserve">Outcome A</t>
  </si>
  <si>
    <t xml:space="preserve">Outcome B</t>
  </si>
  <si>
    <t xml:space="preserve">Encounter 01</t>
  </si>
  <si>
    <t xml:space="preserve">The Creature</t>
  </si>
  <si>
    <t xml:space="preserve">Now: maxExp</t>
  </si>
  <si>
    <t xml:space="preserve">The Creature leans on your door, bleeding. “Tend to me, doctor.”</t>
  </si>
  <si>
    <t xml:space="preserve">Stitch him up / Turn him away</t>
  </si>
  <si>
    <t xml:space="preserve">-2 muscle/organ, +3f</t>
  </si>
  <si>
    <t xml:space="preserve">Lose 1 meeple today; Captain +1</t>
  </si>
  <si>
    <t xml:space="preserve">The Creature, huge and scarred, leaning bleeding in a doorway, a hand pressed to his side</t>
  </si>
  <si>
    <t xml:space="preserve">encounter-01.png</t>
  </si>
  <si>
    <t xml:space="preserve">Encounter 02</t>
  </si>
  <si>
    <t xml:space="preserve">Now: fewestComplete</t>
  </si>
  <si>
    <t xml:space="preserve">“Your progress is lacking. Come with me.” You have no choice.</t>
  </si>
  <si>
    <t xml:space="preserve">No choice</t>
  </si>
  <si>
    <t xml:space="preserve">+4 human materials (I), -2 humanity</t>
  </si>
  <si>
    <t xml:space="preserve">The Creature in a shadowed corner of a laboratory, beckoning</t>
  </si>
  <si>
    <t xml:space="preserve">encounter-02.png</t>
  </si>
  <si>
    <t xml:space="preserve">Encounter 03</t>
  </si>
  <si>
    <t xml:space="preserve">Captain Walton</t>
  </si>
  <si>
    <t xml:space="preserve">Now: maxHum</t>
  </si>
  <si>
    <t xml:space="preserve">A boy presses a note into your hand: “Meet me at the docks. R.W.”</t>
  </si>
  <si>
    <t xml:space="preserve">Go to the Docks / Burn the note</t>
  </si>
  <si>
    <t xml:space="preserve">First player; scientist at the Docks; humanity card, +1 humanity, +2f</t>
  </si>
  <si>
    <t xml:space="preserve">Captain -1 step, -1 humanity</t>
  </si>
  <si>
    <t xml:space="preserve">A boy pressing a folded note into a hand on a crowded boulevard</t>
  </si>
  <si>
    <t xml:space="preserve">encounter-03.png</t>
  </si>
  <si>
    <t xml:space="preserve">Encounter 04</t>
  </si>
  <si>
    <t xml:space="preserve">Now: fpOther</t>
  </si>
  <si>
    <t xml:space="preserve">Lightning shows a shape in the window. “Are the angels angry, doctor?”</t>
  </si>
  <si>
    <t xml:space="preserve">Test: 2 or more parts alive</t>
  </si>
  <si>
    <t xml:space="preserve">Become first player</t>
  </si>
  <si>
    <t xml:space="preserve">Draw 2 research cards</t>
  </si>
  <si>
    <t xml:space="preserve">The Creature’s silhouette in a rain-lashed window lit by lightning</t>
  </si>
  <si>
    <t xml:space="preserve">encounter-04.png</t>
  </si>
  <si>
    <t xml:space="preserve">Encounter 05</t>
  </si>
  <si>
    <t xml:space="preserve">Now: fp</t>
  </si>
  <si>
    <t xml:space="preserve">A heat wave. The stench is unbearable. “No ice, doctor?”</t>
  </si>
  <si>
    <t xml:space="preserve">Test: 3 or more complete parts</t>
  </si>
  <si>
    <t xml:space="preserve">+1 empty jar (max 4)</t>
  </si>
  <si>
    <t xml:space="preserve">Scientist must Give Blood now: +5 blood (I)</t>
  </si>
  <si>
    <t xml:space="preserve">A sweltering laboratory, flies over a slab, the Creature fanning the air</t>
  </si>
  <si>
    <t xml:space="preserve">encounter-05.png</t>
  </si>
  <si>
    <t xml:space="preserve">Encounter 06</t>
  </si>
  <si>
    <t xml:space="preserve">He walks in with a dripping bag. “Are you pleased with your progress?”</t>
  </si>
  <si>
    <t xml:space="preserve">Test: 4 or more complete parts</t>
  </si>
  <si>
    <t xml:space="preserve">+1 organ, +2 muscle (I), -1 humanity</t>
  </si>
  <si>
    <t xml:space="preserve">+1 organ (I), +1 humanity</t>
  </si>
  <si>
    <t xml:space="preserve">The Creature walking into a laboratory with a dripping sack</t>
  </si>
  <si>
    <t xml:space="preserve">encounter-06.png</t>
  </si>
  <si>
    <t xml:space="preserve">Encounter 07</t>
  </si>
  <si>
    <t xml:space="preserve">The Captain bursts in, bleeding, and hides from the Creature behind your shelves.</t>
  </si>
  <si>
    <t xml:space="preserve">Give him up / Hide him</t>
  </si>
  <si>
    <t xml:space="preserve">-2 humanity, lose 1 jar</t>
  </si>
  <si>
    <t xml:space="preserve">-1 expertise, +2 humanity</t>
  </si>
  <si>
    <t xml:space="preserve">An old sea captain bleeding from the arm, crouching behind laboratory shelves with a pistol</t>
  </si>
  <si>
    <t xml:space="preserve">encounter-07.png</t>
  </si>
  <si>
    <t xml:space="preserve">Encounter 08</t>
  </si>
  <si>
    <t xml:space="preserve">Secret: academy.adv</t>
  </si>
  <si>
    <t xml:space="preserve">In the library, the Captain finds you: “This fiend is no Prometheus.”</t>
  </si>
  <si>
    <t xml:space="preserve">Stay and listen / Leave with your books</t>
  </si>
  <si>
    <t xml:space="preserve">No benefit; +2 humanity</t>
  </si>
  <si>
    <t xml:space="preserve">No benefit; -1 humanity, draw 1 research</t>
  </si>
  <si>
    <t xml:space="preserve">An old sea captain confronting a scholar between tall library shelves</t>
  </si>
  <si>
    <t xml:space="preserve">encounter-08.png</t>
  </si>
  <si>
    <t xml:space="preserve">Encounter 09</t>
  </si>
  <si>
    <t xml:space="preserve">Secret: hospital.retrieve</t>
  </si>
  <si>
    <t xml:space="preserve">Screams upstairs: a massacre near the Bastille. The wards overflow with the dying.</t>
  </si>
  <si>
    <t xml:space="preserve">Claim the dead / Help the living</t>
  </si>
  <si>
    <t xml:space="preserve">Retrieve plus 2 extra bodies, -1 humanity</t>
  </si>
  <si>
    <t xml:space="preserve">No benefit; +3 humanity, +1f</t>
  </si>
  <si>
    <t xml:space="preserve">A hospital stairwell crowded with the dying after a massacre, nurses running</t>
  </si>
  <si>
    <t xml:space="preserve">encounter-09.png</t>
  </si>
  <si>
    <t xml:space="preserve">Encounter 10</t>
  </si>
  <si>
    <t xml:space="preserve">A stranger</t>
  </si>
  <si>
    <t xml:space="preserve">Secret: docks.hire</t>
  </si>
  <si>
    <t xml:space="preserve">A woman steps out of the fog by the river. “Looking for something, doctor?”</t>
  </si>
  <si>
    <t xml:space="preserve">Ask her help / Walk on</t>
  </si>
  <si>
    <t xml:space="preserve">No benefit; pay 1f or -1 rep; hire any scoundrel</t>
  </si>
  <si>
    <t xml:space="preserve">No benefit; -2f</t>
  </si>
  <si>
    <t xml:space="preserve">A woman in a dark hood stepping out of river fog by the quay</t>
  </si>
  <si>
    <t xml:space="preserve">encounter-10.png</t>
  </si>
  <si>
    <t xml:space="preserve">Encounter 11</t>
  </si>
  <si>
    <t xml:space="preserve">Now: fpWithPart</t>
  </si>
  <si>
    <t xml:space="preserve">“Please, don’t let me interrupt.” He watches you work.</t>
  </si>
  <si>
    <t xml:space="preserve">Test: at least 1 part alive</t>
  </si>
  <si>
    <t xml:space="preserve">+3f</t>
  </si>
  <si>
    <t xml:space="preserve">Downgrade one part one step</t>
  </si>
  <si>
    <t xml:space="preserve">The Creature sitting quietly in the corner of a laboratory, watching</t>
  </si>
  <si>
    <t xml:space="preserve">encounter-11.png</t>
  </si>
  <si>
    <t xml:space="preserve">Encounter 12</t>
  </si>
  <si>
    <t xml:space="preserve">Now: lastDark</t>
  </si>
  <si>
    <t xml:space="preserve">The Captain sits by your bed with a pistol. “Rediscover your humanity, or be ruined.”</t>
  </si>
  <si>
    <t xml:space="preserve">Agree to help / Refuse</t>
  </si>
  <si>
    <t xml:space="preserve">First player; meeple to Saint-Roch; no humanity loss today</t>
  </si>
  <si>
    <t xml:space="preserve">-2 humanity (else everyone else +1)</t>
  </si>
  <si>
    <t xml:space="preserve">An old sea captain sitting by a bed at night with a pistol across his lap</t>
  </si>
  <si>
    <t xml:space="preserve">encounter-12.png</t>
  </si>
  <si>
    <t xml:space="preserve">Encounter 13</t>
  </si>
  <si>
    <t xml:space="preserve">He flips through your books. “Without proper study, doctor? Or fairy tales?”</t>
  </si>
  <si>
    <t xml:space="preserve">Test: expertise 13 or more</t>
  </si>
  <si>
    <t xml:space="preserve">Draw 1 research</t>
  </si>
  <si>
    <t xml:space="preserve">Scientist must Practice now: +2 expertise</t>
  </si>
  <si>
    <t xml:space="preserve">The Creature hurling a book that bursts into a cloud of pages</t>
  </si>
  <si>
    <t xml:space="preserve">encounter-13.png</t>
  </si>
  <si>
    <t xml:space="preserve">Encounter 14</t>
  </si>
  <si>
    <t xml:space="preserve">Now: mostHumCards</t>
  </si>
  <si>
    <t xml:space="preserve">“I wonder about your loyalty. Some assistance, perhaps?” He holds out a bag.</t>
  </si>
  <si>
    <t xml:space="preserve">Take the bag / Refuse it</t>
  </si>
  <si>
    <t xml:space="preserve">+1 muscle, organ, blood (II), +1 bone, -2 humanity</t>
  </si>
  <si>
    <t xml:space="preserve">Next player gains 1 of each (I); +1 humanity</t>
  </si>
  <si>
    <t xml:space="preserve">The Creature holding out a heavy burlap bag that moves</t>
  </si>
  <si>
    <t xml:space="preserve">encounter-14.png</t>
  </si>
  <si>
    <t xml:space="preserve">Encounter 15</t>
  </si>
  <si>
    <t xml:space="preserve">Secret: cemetery.dig</t>
  </si>
  <si>
    <t xml:space="preserve">Something watches from the dark as you dig. The open grave holds three bodies, too fresh.</t>
  </si>
  <si>
    <t xml:space="preserve">Climb into the grave / Dig elsewhere</t>
  </si>
  <si>
    <t xml:space="preserve">Redraw bones; all stage I; 1 humanity total</t>
  </si>
  <si>
    <t xml:space="preserve">Draw only 2; no humanity costs</t>
  </si>
  <si>
    <t xml:space="preserve">An open grave at night with three pale fresh bodies, eyes watching from the dark</t>
  </si>
  <si>
    <t xml:space="preserve">encounter-15.png</t>
  </si>
  <si>
    <t xml:space="preserve">Role</t>
  </si>
  <si>
    <t xml:space="preserve">Ability</t>
  </si>
  <si>
    <t xml:space="preserve">Psychopath</t>
  </si>
  <si>
    <t xml:space="preserve">Lucien Vautrin</t>
  </si>
  <si>
    <t xml:space="preserve">Your humanity never moves from 0. Each time you get a second police marker, lose 1 reputation.</t>
  </si>
  <si>
    <t xml:space="preserve">Lucien Vautrin, a polished young man with a neat moustache and a cruel calm smile, a carnation in his lapel, bloodstain on his cuff, alive, eyes open, a living person</t>
  </si>
  <si>
    <t xml:space="preserve">character-psycho.png</t>
  </si>
  <si>
    <t xml:space="preserve">Zoologist</t>
  </si>
  <si>
    <t xml:space="preserve">Sir Bartholomew Pike</t>
  </si>
  <si>
    <t xml:space="preserve">Once per day: roll 1 extra gray die when you throw the switch, or charge 1 jar.</t>
  </si>
  <si>
    <t xml:space="preserve">Sir Bartholomew Pike, a weathered English naturalist in a top hat and travelling coat, an eel in a jar under his arm, alive, eyes open, a living person</t>
  </si>
  <si>
    <t xml:space="preserve">character-zoo.png</t>
  </si>
  <si>
    <t xml:space="preserve">Charlatan</t>
  </si>
  <si>
    <t xml:space="preserve">Count Achille Duval</t>
  </si>
  <si>
    <t xml:space="preserve">Start with reputation 3. Gain 1 reputation each time you are bumped at the Academy.</t>
  </si>
  <si>
    <t xml:space="preserve">Count Achille Duval, a theatrical aristocrat in a top hat and fur collar, rings on every finger, alive, eyes open, a living person</t>
  </si>
  <si>
    <t xml:space="preserve">character-charlatan.png</t>
  </si>
  <si>
    <t xml:space="preserve">Humanitarian</t>
  </si>
  <si>
    <t xml:space="preserve">Amara Okafor</t>
  </si>
  <si>
    <t xml:space="preserve">Start with humanity 2. Gain 1 VP for each humanity you would gain while at 10.</t>
  </si>
  <si>
    <t xml:space="preserve">Amara Okafor, a calm West African physician in a dark dress with a doctor’s bag, warm steady gaze, alive, eyes open, a living person</t>
  </si>
  <si>
    <t xml:space="preserve">character-human.png</t>
  </si>
  <si>
    <t xml:space="preserve">Heiress</t>
  </si>
  <si>
    <t xml:space="preserve">Lucrezia Fontana</t>
  </si>
  <si>
    <t xml:space="preserve">Start of each day: +1f if you have 2 or less. Research cards that give expertise give 1 more.</t>
  </si>
  <si>
    <t xml:space="preserve">Lucrezia Fontana, a young Italian heiress in a wide-brimmed hat and pearls, an open anatomy book in her hands, alive, eyes open, a living person</t>
  </si>
  <si>
    <t xml:space="preserve">character-heiress.png</t>
  </si>
  <si>
    <t xml:space="preserve">Surgeon</t>
  </si>
  <si>
    <t xml:space="preserve">Dr Hélène Marchand</t>
  </si>
  <si>
    <t xml:space="preserve">Start with expertise 2. Once per night, build a part with 1 less material of your choice.</t>
  </si>
  <si>
    <t xml:space="preserve">Dr Hélène Marchand, a severe French surgeon in a blood-flecked leather apron, scalpel in hand, alive, eyes open, a living person</t>
  </si>
  <si>
    <t xml:space="preserve">character-surgeon.png</t>
  </si>
  <si>
    <t xml:space="preserve">Board art: 12 locations and 4 laboratory spaces.</t>
  </si>
  <si>
    <t xml:space="preserve">Type</t>
  </si>
  <si>
    <t xml:space="preserve">Real place</t>
  </si>
  <si>
    <t xml:space="preserve">Location</t>
  </si>
  <si>
    <t xml:space="preserve">Père Lachaise</t>
  </si>
  <si>
    <t xml:space="preserve">The Cemetery of Père Lachaise at night: leaning tombstones, a stone cross, a bare tree, a half-dug grave with a spade in the earth, a lantern on the ground</t>
  </si>
  <si>
    <t xml:space="preserve">16:9</t>
  </si>
  <si>
    <t xml:space="preserve">location-cemetery.png</t>
  </si>
  <si>
    <t xml:space="preserve">Place de Grève</t>
  </si>
  <si>
    <t xml:space="preserve">The Place de Grève at night after an execution: the guillotine on its scaffold, the Hôtel de Ville behind, a dispersing crowd</t>
  </si>
  <si>
    <t xml:space="preserve">location-square.png</t>
  </si>
  <si>
    <t xml:space="preserve">Quai du Marché-Neuf</t>
  </si>
  <si>
    <t xml:space="preserve">The Paris Morgue: bodies on stone slabs under sheets, an arched window, a hanging lantern, a keeper with a ledger</t>
  </si>
  <si>
    <t xml:space="preserve">location-morgue.png</t>
  </si>
  <si>
    <t xml:space="preserve">Slaughterhouse</t>
  </si>
  <si>
    <t xml:space="preserve">Montmartre</t>
  </si>
  <si>
    <t xml:space="preserve">The Montmartre slaughterhouse: carcasses on hooks, a blood-dark floor drain, a butcher sharpening a cleaver</t>
  </si>
  <si>
    <t xml:space="preserve">location-slaughter.png</t>
  </si>
  <si>
    <t xml:space="preserve">Hôpital de la Charité</t>
  </si>
  <si>
    <t xml:space="preserve">The Hôpital de la Charité at night: a long ward of beds, sisters in white cornettes, a porter with a covered trolley</t>
  </si>
  <si>
    <t xml:space="preserve">location-hospital.png</t>
  </si>
  <si>
    <t xml:space="preserve">Academy</t>
  </si>
  <si>
    <t xml:space="preserve">Institut de France</t>
  </si>
  <si>
    <t xml:space="preserve">The domed Institut de France on the Seine at night, lit windows, a scholar on the steps</t>
  </si>
  <si>
    <t xml:space="preserve">location-academy.png</t>
  </si>
  <si>
    <t xml:space="preserve">Market</t>
  </si>
  <si>
    <t xml:space="preserve">Les Halles</t>
  </si>
  <si>
    <t xml:space="preserve">Les Halles market at night: ice carts, fish stalls, an instrument maker’s stall with Leyden jars</t>
  </si>
  <si>
    <t xml:space="preserve">location-market.png</t>
  </si>
  <si>
    <t xml:space="preserve">Docks</t>
  </si>
  <si>
    <t xml:space="preserve">Port Saint-Nicolas</t>
  </si>
  <si>
    <t xml:space="preserve">Port Saint-Nicolas on the Seine at night: moored barges, crates, a lantern on a post, figures in the fog</t>
  </si>
  <si>
    <t xml:space="preserve">location-docks.png</t>
  </si>
  <si>
    <t xml:space="preserve">Dark Alley</t>
  </si>
  <si>
    <t xml:space="preserve">Faubourg Saint-Marcel</t>
  </si>
  <si>
    <t xml:space="preserve">A narrow alley in the Faubourg Saint-Marcel: a single wall lamp, a cloaked figure, a body in a doorway</t>
  </si>
  <si>
    <t xml:space="preserve">location-alley.png</t>
  </si>
  <si>
    <t xml:space="preserve">Saint-Roch</t>
  </si>
  <si>
    <t xml:space="preserve">Rue Saint-Honoré</t>
  </si>
  <si>
    <t xml:space="preserve">The church of Saint-Roch on the Rue Saint-Honoré at night, candles glowing through the open doors</t>
  </si>
  <si>
    <t xml:space="preserve">location-church.png</t>
  </si>
  <si>
    <t xml:space="preserve">First Player</t>
  </si>
  <si>
    <t xml:space="preserve">Parvis Notre-Dame</t>
  </si>
  <si>
    <t xml:space="preserve">The square before Notre-Dame at night, the Creature’s hulking silhouette at the foot of the towers</t>
  </si>
  <si>
    <t xml:space="preserve">location-first.png</t>
  </si>
  <si>
    <t xml:space="preserve">Théâtre de l’Odéon</t>
  </si>
  <si>
    <t xml:space="preserve">Rive gauche</t>
  </si>
  <si>
    <t xml:space="preserve">The Théâtre de l’Odéon lit for opening night, columns, carriages and an elegant crowd</t>
  </si>
  <si>
    <t xml:space="preserve">location-odeon.png</t>
  </si>
  <si>
    <t xml:space="preserve">Practice</t>
  </si>
  <si>
    <t xml:space="preserve">Lab space</t>
  </si>
  <si>
    <t xml:space="preserve">An anatomy book open beside a skull and calipers on a laboratory bench</t>
  </si>
  <si>
    <t xml:space="preserve">lab-practice.png</t>
  </si>
  <si>
    <t xml:space="preserve">Give Blood</t>
  </si>
  <si>
    <t xml:space="preserve">A lancet in a forearm, blood running into a pewter bowl</t>
  </si>
  <si>
    <t xml:space="preserve">lab-blood.png</t>
  </si>
  <si>
    <t xml:space="preserve">Repair</t>
  </si>
  <si>
    <t xml:space="preserve">Curved needles and catgut stitching a torn limb on the operating table</t>
  </si>
  <si>
    <t xml:space="preserve">lab-repair.png</t>
  </si>
  <si>
    <t xml:space="preserve">Charge Jars</t>
  </si>
  <si>
    <t xml:space="preserve">Two Leyden jars on a bench crackling with blue electricity from a turning static generator</t>
  </si>
  <si>
    <t xml:space="preserve">lab-charge.png</t>
  </si>
  <si>
    <t xml:space="preserve">Tuned numbers (not from the physical game). VP is set by the oldest stage used. Animal costs 1 VP, or 2 if 3+ animal.</t>
  </si>
  <si>
    <t xml:space="preserve">Part</t>
  </si>
  <si>
    <t xml:space="preserve">Count</t>
  </si>
  <si>
    <t xml:space="preserve">Expertise</t>
  </si>
  <si>
    <t xml:space="preserve">Start muscle</t>
  </si>
  <si>
    <t xml:space="preserve">Start organ</t>
  </si>
  <si>
    <t xml:space="preserve">Start blood</t>
  </si>
  <si>
    <t xml:space="preserve">Start bone</t>
  </si>
  <si>
    <t xml:space="preserve">Muscle VP I</t>
  </si>
  <si>
    <t xml:space="preserve">Muscle VP II</t>
  </si>
  <si>
    <t xml:space="preserve">Muscle VP III</t>
  </si>
  <si>
    <t xml:space="preserve">Muscle VP IV</t>
  </si>
  <si>
    <t xml:space="preserve">Skin muscle</t>
  </si>
  <si>
    <t xml:space="preserve">Skin organ</t>
  </si>
  <si>
    <t xml:space="preserve">Skin blood</t>
  </si>
  <si>
    <t xml:space="preserve">Skin VP I</t>
  </si>
  <si>
    <t xml:space="preserve">Skin VP II</t>
  </si>
  <si>
    <t xml:space="preserve">Skin VP III</t>
  </si>
  <si>
    <t xml:space="preserve">Skin VP IV</t>
  </si>
  <si>
    <t xml:space="preserve">Alive points</t>
  </si>
  <si>
    <t xml:space="preserve">Max VP per part</t>
  </si>
  <si>
    <t xml:space="preserve">Head</t>
  </si>
  <si>
    <t xml:space="preserve">Torso</t>
  </si>
  <si>
    <t xml:space="preserve">Arm</t>
  </si>
  <si>
    <t xml:space="preserve">Leg</t>
  </si>
  <si>
    <t xml:space="preserve">Total (all 6 parts)</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</si>
</sst>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color rgb="FF666666"/>
      <name val="Arial"/>
      <family val="0"/>
      <charset val="1"/>
    </font>
    <font>
      <b val="true"/>
      <sz val="10"/>
      <color rgb="FFECE0C6"/>
      <name val="Arial"/>
      <family val="0"/>
      <charset val="1"/>
    </font>
    <font>
      <sz val="10"/>
      <name val="Arial"/>
      <family val="0"/>
      <charset val="1"/>
    </font>
    <font>
      <b val="true"/>
      <sz val="10"/>
      <name val="Arial"/>
      <family val="0"/>
      <charset val="1"/>
    </font>
    <font>
      <b val="true"/>
      <sz val="12"/>
      <name val="Arial"/>
      <family val="0"/>
      <charset val="1"/>
    </font>
  </fonts>
  <fills count="3">
    <fill>
      <patternFill patternType="none"/>
    </fill>
    <fill>
      <patternFill patternType="gray125"/>
    </fill>
    <fill>
      <patternFill patternType="solid">
        <fgColor rgb="FF2A2420"/>
        <bgColor rgb="FF333300"/>
      </patternFill>
    </fill>
  </fills>
  <borders count="2">
    <border diagonalUp="false" diagonalDown="false">
      <left/>
      <right/>
      <top/>
      <bottom/>
      <diagonal/>
    </border>
    <border diagonalUp="false" diagonalDown="false">
      <left/>
      <right/>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2A2420"/>
          <bgColor rgb="FF000000"/>
        </patternFill>
      </fill>
    </dxf>
    <dxf>
      <fill>
        <patternFill patternType="solid">
          <bgColor rgb="FF000000"/>
        </patternFill>
      </fill>
    </dxf>
    <dxf>
      <fill>
        <patternFill patternType="solid">
          <fgColor rgb="FFECE0C6"/>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ECE0C6"/>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2A242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_rels/sheet7.xml.rels><?xml version="1.0" encoding="UTF-8"?>
<Relationships xmlns="http://schemas.openxmlformats.org/package/2006/relationships"><Relationship Id="rId1" Type="http://schemas.openxmlformats.org/officeDocument/2006/relationships/drawing" Target="../drawings/drawing5.xml"/>
</Relationships>
</file>

<file path=xl/worksheets/_rels/sheet8.xml.rels><?xml version="1.0" encoding="UTF-8"?>
<Relationships xmlns="http://schemas.openxmlformats.org/package/2006/relationships"><Relationship Id="rId1" Type="http://schemas.openxmlformats.org/officeDocument/2006/relationships/drawing" Target="../drawings/drawing6.xml"/>
</Relationships>
</file>

<file path=xl/worksheets/_rels/sheet9.xml.rels><?xml version="1.0" encoding="UTF-8"?>
<Relationships xmlns="http://schemas.openxmlformats.org/package/2006/relationships"><Relationship Id="rId1" Type="http://schemas.openxmlformats.org/officeDocument/2006/relationships/drawing" Target="../drawings/drawing7.xml"/>
</Relationships>
</file>

<file path=xl/worksheets/_rels/sheet10.xml.rels><?xml version="1.0" encoding="UTF-8"?>
<Relationships xmlns="http://schemas.openxmlformats.org/package/2006/relationships"><Relationship Id="rId1" Type="http://schemas.openxmlformats.org/officeDocument/2006/relationships/drawing" Target="../drawings/drawing8.xml"/>
</Relationships>
</file>

<file path=xl/worksheets/_rels/sheet11.xml.rels><?xml version="1.0" encoding="UTF-8"?>
<Relationships xmlns="http://schemas.openxmlformats.org/package/2006/relationships"><Relationship Id="rId1" Type="http://schemas.openxmlformats.org/officeDocument/2006/relationships/drawing" Target="../drawings/drawing9.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0"/>
    <col collapsed="false" customWidth="true" hidden="false" outlineLevel="0" max="3" min="3" style="0" width="4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3" t="s">
        <v>3</v>
      </c>
      <c r="C4" s="3" t="s">
        <v>4</v>
      </c>
    </row>
    <row r="5" customFormat="false" ht="15" hidden="false" customHeight="false" outlineLevel="0" collapsed="false">
      <c r="A5" s="4" t="s">
        <v>5</v>
      </c>
      <c r="B5" s="4" t="n">
        <f aca="false">COUNTIF(Cadavers!B:B,"Cemetery")</f>
        <v>14</v>
      </c>
      <c r="C5" s="4" t="s">
        <v>6</v>
      </c>
    </row>
    <row r="6" customFormat="false" ht="15" hidden="false" customHeight="false" outlineLevel="0" collapsed="false">
      <c r="A6" s="4" t="s">
        <v>7</v>
      </c>
      <c r="B6" s="4" t="n">
        <f aca="false">COUNTIF(Cadavers!B:B,"Morgue")</f>
        <v>14</v>
      </c>
      <c r="C6" s="4" t="s">
        <v>8</v>
      </c>
    </row>
    <row r="7" customFormat="false" ht="15" hidden="false" customHeight="false" outlineLevel="0" collapsed="false">
      <c r="A7" s="4" t="s">
        <v>9</v>
      </c>
      <c r="B7" s="4" t="n">
        <f aca="false">COUNTIF(Cadavers!B:B,"Hospital")</f>
        <v>14</v>
      </c>
      <c r="C7" s="4" t="s">
        <v>10</v>
      </c>
    </row>
    <row r="8" customFormat="false" ht="15" hidden="false" customHeight="false" outlineLevel="0" collapsed="false">
      <c r="A8" s="4" t="s">
        <v>11</v>
      </c>
      <c r="B8" s="4" t="n">
        <f aca="false">COUNTIF(Cadavers!B:B,"Public Square")</f>
        <v>10</v>
      </c>
      <c r="C8" s="4" t="s">
        <v>12</v>
      </c>
    </row>
    <row r="9" customFormat="false" ht="15" hidden="false" customHeight="false" outlineLevel="0" collapsed="false">
      <c r="A9" s="4" t="s">
        <v>13</v>
      </c>
      <c r="B9" s="4" t="n">
        <f aca="false">COUNTA(Scoundrels!A:A)-2</f>
        <v>16</v>
      </c>
      <c r="C9" s="4" t="s">
        <v>14</v>
      </c>
    </row>
    <row r="10" customFormat="false" ht="15" hidden="false" customHeight="false" outlineLevel="0" collapsed="false">
      <c r="A10" s="4" t="s">
        <v>15</v>
      </c>
      <c r="B10" s="4" t="n">
        <f aca="false">COUNTA(Research!A:A)-2</f>
        <v>16</v>
      </c>
      <c r="C10" s="4" t="s">
        <v>16</v>
      </c>
    </row>
    <row r="11" customFormat="false" ht="15" hidden="false" customHeight="false" outlineLevel="0" collapsed="false">
      <c r="A11" s="4" t="s">
        <v>17</v>
      </c>
      <c r="B11" s="4" t="n">
        <f aca="false">COUNTA(Humanity!A:A)-2</f>
        <v>16</v>
      </c>
      <c r="C11" s="4" t="s">
        <v>18</v>
      </c>
    </row>
    <row r="12" customFormat="false" ht="15" hidden="false" customHeight="false" outlineLevel="0" collapsed="false">
      <c r="A12" s="4" t="s">
        <v>19</v>
      </c>
      <c r="B12" s="4" t="n">
        <f aca="false">COUNTA(Events!A:A)-2</f>
        <v>19</v>
      </c>
      <c r="C12" s="4" t="s">
        <v>20</v>
      </c>
    </row>
    <row r="13" customFormat="false" ht="15" hidden="false" customHeight="false" outlineLevel="0" collapsed="false">
      <c r="A13" s="4" t="s">
        <v>21</v>
      </c>
      <c r="B13" s="4" t="n">
        <f aca="false">COUNTA(Encounters!A:A)-2</f>
        <v>15</v>
      </c>
      <c r="C13" s="4" t="s">
        <v>22</v>
      </c>
    </row>
    <row r="14" customFormat="false" ht="15" hidden="false" customHeight="false" outlineLevel="0" collapsed="false">
      <c r="A14" s="4" t="s">
        <v>23</v>
      </c>
      <c r="B14" s="4" t="n">
        <f aca="false">COUNTA(Characters!A:A)-2</f>
        <v>6</v>
      </c>
      <c r="C14" s="4" t="s">
        <v>24</v>
      </c>
    </row>
    <row r="15" customFormat="false" ht="15" hidden="false" customHeight="false" outlineLevel="0" collapsed="false">
      <c r="A15" s="5" t="s">
        <v>25</v>
      </c>
      <c r="B15" s="5" t="n">
        <f aca="false">SUM(B5:B14)</f>
        <v>140</v>
      </c>
    </row>
    <row r="17" customFormat="false" ht="15" hidden="false" customHeight="false" outlineLevel="0" collapsed="false">
      <c r="A17" s="2" t="s">
        <v>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20"/>
  </cols>
  <sheetData>
    <row r="1" customFormat="false" ht="15" hidden="false" customHeight="false" outlineLevel="0" collapsed="false">
      <c r="A1" s="6" t="s">
        <v>27</v>
      </c>
    </row>
    <row r="2" customFormat="false" ht="57.45" hidden="false" customHeight="false" outlineLevel="0" collapsed="false">
      <c r="A2" s="5" t="s">
        <v>28</v>
      </c>
      <c r="B2" s="7" t="s">
        <v>29</v>
      </c>
    </row>
    <row r="3" customFormat="false" ht="68.65" hidden="false" customHeight="false" outlineLevel="0" collapsed="false">
      <c r="A3" s="5" t="s">
        <v>30</v>
      </c>
      <c r="B3" s="7" t="s">
        <v>31</v>
      </c>
    </row>
    <row r="4" customFormat="false" ht="23.85" hidden="false" customHeight="false" outlineLevel="0" collapsed="false">
      <c r="A4" s="5" t="s">
        <v>32</v>
      </c>
      <c r="B4" s="7" t="s">
        <v>33</v>
      </c>
    </row>
    <row r="5" customFormat="false" ht="35.05" hidden="false" customHeight="false" outlineLevel="0" collapsed="false">
      <c r="A5" s="5" t="s">
        <v>34</v>
      </c>
      <c r="B5" s="7" t="s">
        <v>35</v>
      </c>
    </row>
    <row r="6" customFormat="false" ht="15" hidden="false" customHeight="false" outlineLevel="0" collapsed="false">
      <c r="A6" s="5" t="s">
        <v>36</v>
      </c>
      <c r="B6" s="7" t="s">
        <v>37</v>
      </c>
    </row>
    <row r="7" customFormat="false" ht="15" hidden="false" customHeight="false" outlineLevel="0" collapsed="false">
      <c r="A7" s="5" t="s">
        <v>38</v>
      </c>
      <c r="B7" s="7" t="s">
        <v>39</v>
      </c>
    </row>
    <row r="8" customFormat="false" ht="15" hidden="false" customHeight="false" outlineLevel="0" collapsed="false">
      <c r="A8" s="5" t="s">
        <v>40</v>
      </c>
      <c r="B8" s="7" t="s">
        <v>41</v>
      </c>
    </row>
    <row r="9" customFormat="false" ht="15" hidden="false" customHeight="false" outlineLevel="0" collapsed="false">
      <c r="A9" s="5" t="s">
        <v>42</v>
      </c>
      <c r="B9" s="7" t="s">
        <v>43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2" min="2" style="0" width="14"/>
    <col collapsed="false" customWidth="true" hidden="false" outlineLevel="0" max="7" min="3" style="0" width="8"/>
    <col collapsed="false" customWidth="true" hidden="false" outlineLevel="0" max="10" min="8" style="0" width="10"/>
    <col collapsed="false" customWidth="true" hidden="false" outlineLevel="0" max="11" min="11" style="0" width="9"/>
    <col collapsed="false" customWidth="true" hidden="false" outlineLevel="0" max="12" min="12" style="0" width="30"/>
    <col collapsed="false" customWidth="true" hidden="false" outlineLevel="0" max="13" min="13" style="0" width="60"/>
    <col collapsed="false" customWidth="true" hidden="false" outlineLevel="0" max="14" min="14" style="0" width="90"/>
    <col collapsed="false" customWidth="true" hidden="false" outlineLevel="0" max="15" min="15" style="0" width="40"/>
    <col collapsed="false" customWidth="true" hidden="false" outlineLevel="0" max="16" min="16" style="0" width="8"/>
    <col collapsed="false" customWidth="true" hidden="false" outlineLevel="0" max="17" min="17" style="0" width="18"/>
  </cols>
  <sheetData>
    <row r="1" customFormat="false" ht="15" hidden="false" customHeight="false" outlineLevel="0" collapsed="false">
      <c r="A1" s="2" t="s">
        <v>1</v>
      </c>
    </row>
    <row r="2" customFormat="false" ht="35.05" hidden="false" customHeight="false" outlineLevel="0" collapsed="false">
      <c r="A2" s="8" t="s">
        <v>44</v>
      </c>
      <c r="B2" s="8" t="s">
        <v>2</v>
      </c>
      <c r="C2" s="8" t="s">
        <v>45</v>
      </c>
      <c r="D2" s="8" t="s">
        <v>46</v>
      </c>
      <c r="E2" s="8" t="s">
        <v>47</v>
      </c>
      <c r="F2" s="8" t="s">
        <v>48</v>
      </c>
      <c r="G2" s="8" t="s">
        <v>49</v>
      </c>
      <c r="H2" s="8" t="s">
        <v>50</v>
      </c>
      <c r="I2" s="8" t="s">
        <v>51</v>
      </c>
      <c r="J2" s="8" t="s">
        <v>52</v>
      </c>
      <c r="K2" s="8" t="s">
        <v>53</v>
      </c>
      <c r="L2" s="8" t="s">
        <v>54</v>
      </c>
      <c r="M2" s="8" t="s">
        <v>55</v>
      </c>
      <c r="N2" s="8" t="s">
        <v>56</v>
      </c>
      <c r="O2" s="8" t="s">
        <v>57</v>
      </c>
      <c r="P2" s="8" t="s">
        <v>58</v>
      </c>
      <c r="Q2" s="8" t="s">
        <v>59</v>
      </c>
    </row>
    <row r="3" customFormat="false" ht="124.6" hidden="false" customHeight="false" outlineLevel="0" collapsed="false">
      <c r="A3" s="9" t="s">
        <v>60</v>
      </c>
      <c r="B3" s="9" t="s">
        <v>61</v>
      </c>
      <c r="C3" s="9" t="s">
        <v>62</v>
      </c>
      <c r="D3" s="9" t="n">
        <v>0</v>
      </c>
      <c r="E3" s="9" t="n">
        <v>3</v>
      </c>
      <c r="F3" s="9" t="n">
        <v>0</v>
      </c>
      <c r="G3" s="9" t="n">
        <v>3</v>
      </c>
      <c r="H3" s="9" t="n">
        <f aca="false">SUM(D3:G3)</f>
        <v>6</v>
      </c>
      <c r="I3" s="9" t="n">
        <v>1</v>
      </c>
      <c r="J3" s="9" t="n">
        <v>0</v>
      </c>
      <c r="K3" s="9"/>
      <c r="L3" s="9"/>
      <c r="M3" s="9" t="s">
        <v>63</v>
      </c>
      <c r="N3" s="9" t="str">
        <f aca="false">M3&amp;". "&amp;Style!$B$3&amp;" "&amp;Style!$B$7</f>
        <v>An elderly washerwoman in a collapsed pine coffin, sunken eye sockets, grave dirt in her grey hair, freshly dug up by lantern light, grave dirt and roots around, months in the ground, flesh shrunken and blackened, skin parchment-thin and torn, teeth bared. Dark hand-drawn coloured-pencil illustration on black-toned paper. Visible pencil strokes and dense cross-hatching, waxy layered colour, soft grain of the paper showing through. Gothic 1819 Paris anatomical horror, Mary Shelley mood. Even darker than daylight allows: the body emerges from deep black, lit hard from one side by a single lantern. Visceral and unflinching: decaying flesh built up in waxy layers of grey-green, livid purple, jaundiced yellow and clotted oxblood; raw wounds, torn stitches, split skin, exposed bone and sinew where the body is broken; flies and grave dirt where it fits. Rendered with the cold precision of an anatomist's study, not cartoon splatter. No blue anywhere: these bodies have no spark of life. Hand-made imperfections, no digital gloss. Format: 2:3 portrait, the body seen from above as it lies, head and upper torso, centred, lower 20% dark and simple.</v>
      </c>
      <c r="O3" s="9" t="str">
        <f aca="false">Style!$B$5</f>
        <v>text, letters, words, captions, logos, watermark, signature, card frame, border, UI, photorealistic, 3D render, CGI, glossy, airbrushed, smooth digital painting, anime, cartoon, comic-book gore, paint-splatter blood, bright saturated red, daylight, white background, modern clothing, modern objects, blue light, living expression, open smiling eyes</v>
      </c>
      <c r="P3" s="9" t="s">
        <v>64</v>
      </c>
      <c r="Q3" s="9" t="s">
        <v>65</v>
      </c>
    </row>
    <row r="4" customFormat="false" ht="124.6" hidden="false" customHeight="false" outlineLevel="0" collapsed="false">
      <c r="A4" s="9" t="s">
        <v>66</v>
      </c>
      <c r="B4" s="9" t="s">
        <v>61</v>
      </c>
      <c r="C4" s="9" t="s">
        <v>62</v>
      </c>
      <c r="D4" s="9" t="n">
        <v>2</v>
      </c>
      <c r="E4" s="9" t="n">
        <v>2</v>
      </c>
      <c r="F4" s="9" t="n">
        <v>0</v>
      </c>
      <c r="G4" s="9" t="n">
        <v>3</v>
      </c>
      <c r="H4" s="9" t="n">
        <f aca="false">SUM(D4:G4)</f>
        <v>7</v>
      </c>
      <c r="I4" s="9" t="n">
        <v>1</v>
      </c>
      <c r="J4" s="9" t="n">
        <v>0</v>
      </c>
      <c r="K4" s="9"/>
      <c r="L4" s="9"/>
      <c r="M4" s="9" t="s">
        <v>67</v>
      </c>
      <c r="N4" s="9" t="str">
        <f aca="false">M4&amp;". "&amp;Style!$B$3&amp;" "&amp;Style!$B$7</f>
        <v>A middle-aged stonemason, jaw slack and fallen open, burial shirt stained black with fluids, freshly dug up by lantern light, grave dirt and roots around, months in the ground, flesh shrunken and blackened, skin parchment-thin and torn, teeth bared. Dark hand-drawn coloured-pencil illustration on black-toned paper. Visible pencil strokes and dense cross-hatching, waxy layered colour, soft grain of the paper showing through. Gothic 1819 Paris anatomical horror, Mary Shelley mood. Even darker than daylight allows: the body emerges from deep black, lit hard from one side by a single lantern. Visceral and unflinching: decaying flesh built up in waxy layers of grey-green, livid purple, jaundiced yellow and clotted oxblood; raw wounds, torn stitches, split skin, exposed bone and sinew where the body is broken; flies and grave dirt where it fits. Rendered with the cold precision of an anatomist's study, not cartoon splatter. No blue anywhere: these bodies have no spark of life. Hand-made imperfections, no digital gloss. Format: 2:3 portrait, the body seen from above as it lies, head and upper torso, centred, lower 20% dark and simple.</v>
      </c>
      <c r="O4" s="9" t="str">
        <f aca="false">Style!$B$5</f>
        <v>text, letters, words, captions, logos, watermark, signature, card frame, border, UI, photorealistic, 3D render, CGI, glossy, airbrushed, smooth digital painting, anime, cartoon, comic-book gore, paint-splatter blood, bright saturated red, daylight, white background, modern clothing, modern objects, blue light, living expression, open smiling eyes</v>
      </c>
      <c r="P4" s="9" t="s">
        <v>64</v>
      </c>
      <c r="Q4" s="9" t="s">
        <v>68</v>
      </c>
    </row>
    <row r="5" customFormat="false" ht="124.6" hidden="false" customHeight="false" outlineLevel="0" collapsed="false">
      <c r="A5" s="9" t="s">
        <v>69</v>
      </c>
      <c r="B5" s="9" t="s">
        <v>61</v>
      </c>
      <c r="C5" s="9" t="s">
        <v>62</v>
      </c>
      <c r="D5" s="9" t="n">
        <v>2</v>
      </c>
      <c r="E5" s="9" t="n">
        <v>2</v>
      </c>
      <c r="F5" s="9" t="n">
        <v>0</v>
      </c>
      <c r="G5" s="9" t="n">
        <v>2</v>
      </c>
      <c r="H5" s="9" t="n">
        <f aca="false">SUM(D5:G5)</f>
        <v>6</v>
      </c>
      <c r="I5" s="9" t="n">
        <v>1</v>
      </c>
      <c r="J5" s="9" t="n">
        <v>0</v>
      </c>
      <c r="K5" s="9"/>
      <c r="L5" s="9"/>
      <c r="M5" s="9" t="s">
        <v>70</v>
      </c>
      <c r="N5" s="9" t="str">
        <f aca="false">M5&amp;". "&amp;Style!$B$3&amp;" "&amp;Style!$B$7</f>
        <v>A young conscript of the Grande Armée in a rotting uniform, a sabre scar across his cheek split wide, freshly dug up by lantern light, grave dirt and roots around, months in the ground, flesh shrunken and blackened, skin parchment-thin and torn, teeth bared. Dark hand-drawn coloured-pencil illustration on black-toned paper. Visible pencil strokes and dense cross-hatching, waxy layered colour, soft grain of the paper showing through. Gothic 1819 Paris anatomical horror, Mary Shelley mood. Even darker than daylight allows: the body emerges from deep black, lit hard from one side by a single lantern. Visceral and unflinching: decaying flesh built up in waxy layers of grey-green, livid purple, jaundiced yellow and clotted oxblood; raw wounds, torn stitches, split skin, exposed bone and sinew where the body is broken; flies and grave dirt where it fits. Rendered with the cold precision of an anatomist's study, not cartoon splatter. No blue anywhere: these bodies have no spark of life. Hand-made imperfections, no digital gloss. Format: 2:3 portrait, the body seen from above as it lies, head and upper torso, centred, lower 20% dark and simple.</v>
      </c>
      <c r="O5" s="9" t="str">
        <f aca="false">Style!$B$5</f>
        <v>text, letters, words, captions, logos, watermark, signature, card frame, border, UI, photorealistic, 3D render, CGI, glossy, airbrushed, smooth digital painting, anime, cartoon, comic-book gore, paint-splatter blood, bright saturated red, daylight, white background, modern clothing, modern objects, blue light, living expression, open smiling eyes</v>
      </c>
      <c r="P5" s="9" t="s">
        <v>64</v>
      </c>
      <c r="Q5" s="9" t="s">
        <v>71</v>
      </c>
    </row>
    <row r="6" customFormat="false" ht="124.6" hidden="false" customHeight="false" outlineLevel="0" collapsed="false">
      <c r="A6" s="9" t="s">
        <v>72</v>
      </c>
      <c r="B6" s="9" t="s">
        <v>61</v>
      </c>
      <c r="C6" s="9" t="s">
        <v>62</v>
      </c>
      <c r="D6" s="9" t="n">
        <v>2</v>
      </c>
      <c r="E6" s="9" t="n">
        <v>1</v>
      </c>
      <c r="F6" s="9" t="n">
        <v>0</v>
      </c>
      <c r="G6" s="9" t="n">
        <v>3</v>
      </c>
      <c r="H6" s="9" t="n">
        <f aca="false">SUM(D6:G6)</f>
        <v>6</v>
      </c>
      <c r="I6" s="9" t="n">
        <v>1</v>
      </c>
      <c r="J6" s="9" t="n">
        <v>0</v>
      </c>
      <c r="K6" s="9"/>
      <c r="L6" s="9"/>
      <c r="M6" s="9" t="s">
        <v>73</v>
      </c>
      <c r="N6" s="9" t="str">
        <f aca="false">M6&amp;". "&amp;Style!$B$3&amp;" "&amp;Style!$B$7</f>
        <v>A stout innkeeper in a burst burial suit, belly collapsed, beetles in the folds of cloth, freshly dug up by lantern light, grave dirt and roots around, months in the ground, flesh shrunken and blackened, skin parchment-thin and torn, teeth bared. Dark hand-drawn coloured-pencil illustration on black-toned paper. Visible pencil strokes and dense cross-hatching, waxy layered colour, soft grain of the paper showing through. Gothic 1819 Paris anatomical horror, Mary Shelley mood. Even darker than daylight allows: the body emerges from deep black, lit hard from one side by a single lantern. Visceral and unflinching: decaying flesh built up in waxy layers of grey-green, livid purple, jaundiced yellow and clotted oxblood; raw wounds, torn stitches, split skin, exposed bone and sinew where the body is broken; flies and grave dirt where it fits. Rendered with the cold precision of an anatomist's study, not cartoon splatter. No blue anywhere: these bodies have no spark of life. Hand-made imperfections, no digital gloss. Format: 2:3 portrait, the body seen from above as it lies, head and upper torso, centred, lower 20% dark and simple.</v>
      </c>
      <c r="O6" s="9" t="str">
        <f aca="false">Style!$B$5</f>
        <v>text, letters, words, captions, logos, watermark, signature, card frame, border, UI, photorealistic, 3D render, CGI, glossy, airbrushed, smooth digital painting, anime, cartoon, comic-book gore, paint-splatter blood, bright saturated red, daylight, white background, modern clothing, modern objects, blue light, living expression, open smiling eyes</v>
      </c>
      <c r="P6" s="9" t="s">
        <v>64</v>
      </c>
      <c r="Q6" s="9" t="s">
        <v>74</v>
      </c>
    </row>
    <row r="7" customFormat="false" ht="113.4" hidden="false" customHeight="false" outlineLevel="0" collapsed="false">
      <c r="A7" s="9" t="s">
        <v>75</v>
      </c>
      <c r="B7" s="9" t="s">
        <v>61</v>
      </c>
      <c r="C7" s="9" t="s">
        <v>76</v>
      </c>
      <c r="D7" s="9" t="n">
        <v>0</v>
      </c>
      <c r="E7" s="9" t="n">
        <v>0</v>
      </c>
      <c r="F7" s="9" t="n">
        <v>0</v>
      </c>
      <c r="G7" s="9" t="n">
        <v>5</v>
      </c>
      <c r="H7" s="9" t="n">
        <f aca="false">SUM(D7:G7)</f>
        <v>5</v>
      </c>
      <c r="I7" s="9" t="n">
        <v>0</v>
      </c>
      <c r="J7" s="9" t="n">
        <v>0</v>
      </c>
      <c r="K7" s="9"/>
      <c r="L7" s="9" t="s">
        <v>77</v>
      </c>
      <c r="M7" s="9" t="s">
        <v>78</v>
      </c>
      <c r="N7" s="9" t="str">
        <f aca="false">M7&amp;". "&amp;Style!$B$3&amp;" "&amp;Style!$B$7</f>
        <v>A jumble of brown bones and a cracked skull in a collapsed coffin, roots growing through the ribs, a few strands of hair and rags of skin still clinging. Dark hand-drawn coloured-pencil illustration on black-toned paper. Visible pencil strokes and dense cross-hatching, waxy layered colour, soft grain of the paper showing through. Gothic 1819 Paris anatomical horror, Mary Shelley mood. Even darker than daylight allows: the body emerges from deep black, lit hard from one side by a single lantern. Visceral and unflinching: decaying flesh built up in waxy layers of grey-green, livid purple, jaundiced yellow and clotted oxblood; raw wounds, torn stitches, split skin, exposed bone and sinew where the body is broken; flies and grave dirt where it fits. Rendered with the cold precision of an anatomist's study, not cartoon splatter. No blue anywhere: these bodies have no spark of life. Hand-made imperfections, no digital gloss. Format: 2:3 portrait, the body seen from above as it lies, head and upper torso, centred, lower 20% dark and simple.</v>
      </c>
      <c r="O7" s="9" t="str">
        <f aca="false">Style!$B$5</f>
        <v>text, letters, words, captions, logos, watermark, signature, card frame, border, UI, photorealistic, 3D render, CGI, glossy, airbrushed, smooth digital painting, anime, cartoon, comic-book gore, paint-splatter blood, bright saturated red, daylight, white background, modern clothing, modern objects, blue light, living expression, open smiling eyes</v>
      </c>
      <c r="P7" s="9" t="s">
        <v>64</v>
      </c>
      <c r="Q7" s="9" t="s">
        <v>79</v>
      </c>
    </row>
    <row r="8" customFormat="false" ht="113.4" hidden="false" customHeight="false" outlineLevel="0" collapsed="false">
      <c r="A8" s="9" t="s">
        <v>80</v>
      </c>
      <c r="B8" s="9" t="s">
        <v>61</v>
      </c>
      <c r="C8" s="9" t="s">
        <v>76</v>
      </c>
      <c r="D8" s="9" t="n">
        <v>0</v>
      </c>
      <c r="E8" s="9" t="n">
        <v>0</v>
      </c>
      <c r="F8" s="9" t="n">
        <v>0</v>
      </c>
      <c r="G8" s="9" t="n">
        <v>5</v>
      </c>
      <c r="H8" s="9" t="n">
        <f aca="false">SUM(D8:G8)</f>
        <v>5</v>
      </c>
      <c r="I8" s="9" t="n">
        <v>0</v>
      </c>
      <c r="J8" s="9" t="n">
        <v>0</v>
      </c>
      <c r="K8" s="9"/>
      <c r="L8" s="9" t="s">
        <v>77</v>
      </c>
      <c r="M8" s="9" t="s">
        <v>81</v>
      </c>
      <c r="N8" s="9" t="str">
        <f aca="false">M8&amp;". "&amp;Style!$B$3&amp;" "&amp;Style!$B$7</f>
        <v>A skeleton still wrapped in a rotted shroud, finger bones clutching a tarnished rosary, a few strands of hair and rags of skin still clinging. Dark hand-drawn coloured-pencil illustration on black-toned paper. Visible pencil strokes and dense cross-hatching, waxy layered colour, soft grain of the paper showing through. Gothic 1819 Paris anatomical horror, Mary Shelley mood. Even darker than daylight allows: the body emerges from deep black, lit hard from one side by a single lantern. Visceral and unflinching: decaying flesh built up in waxy layers of grey-green, livid purple, jaundiced yellow and clotted oxblood; raw wounds, torn stitches, split skin, exposed bone and sinew where the body is broken; flies and grave dirt where it fits. Rendered with the cold precision of an anatomist's study, not cartoon splatter. No blue anywhere: these bodies have no spark of life. Hand-made imperfections, no digital gloss. Format: 2:3 portrait, the body seen from above as it lies, head and upper torso, centred, lower 20% dark and simple.</v>
      </c>
      <c r="O8" s="9" t="str">
        <f aca="false">Style!$B$5</f>
        <v>text, letters, words, captions, logos, watermark, signature, card frame, border, UI, photorealistic, 3D render, CGI, glossy, airbrushed, smooth digital painting, anime, cartoon, comic-book gore, paint-splatter blood, bright saturated red, daylight, white background, modern clothing, modern objects, blue light, living expression, open smiling eyes</v>
      </c>
      <c r="P8" s="9" t="s">
        <v>64</v>
      </c>
      <c r="Q8" s="9" t="s">
        <v>82</v>
      </c>
    </row>
    <row r="9" customFormat="false" ht="113.4" hidden="false" customHeight="false" outlineLevel="0" collapsed="false">
      <c r="A9" s="9" t="s">
        <v>83</v>
      </c>
      <c r="B9" s="9" t="s">
        <v>61</v>
      </c>
      <c r="C9" s="9" t="s">
        <v>76</v>
      </c>
      <c r="D9" s="9" t="n">
        <v>0</v>
      </c>
      <c r="E9" s="9" t="n">
        <v>0</v>
      </c>
      <c r="F9" s="9" t="n">
        <v>0</v>
      </c>
      <c r="G9" s="9" t="n">
        <v>4</v>
      </c>
      <c r="H9" s="9" t="n">
        <f aca="false">SUM(D9:G9)</f>
        <v>4</v>
      </c>
      <c r="I9" s="9" t="n">
        <v>0</v>
      </c>
      <c r="J9" s="9" t="n">
        <v>0</v>
      </c>
      <c r="K9" s="9"/>
      <c r="L9" s="9" t="s">
        <v>77</v>
      </c>
      <c r="M9" s="9" t="s">
        <v>84</v>
      </c>
      <c r="N9" s="9" t="str">
        <f aca="false">M9&amp;". "&amp;Style!$B$3&amp;" "&amp;Style!$B$7</f>
        <v>A pile of femurs, ribs and vertebrae dumped beside an open grave, soil clinging to them, a few strands of hair and rags of skin still clinging. Dark hand-drawn coloured-pencil illustration on black-toned paper. Visible pencil strokes and dense cross-hatching, waxy layered colour, soft grain of the paper showing through. Gothic 1819 Paris anatomical horror, Mary Shelley mood. Even darker than daylight allows: the body emerges from deep black, lit hard from one side by a single lantern. Visceral and unflinching: decaying flesh built up in waxy layers of grey-green, livid purple, jaundiced yellow and clotted oxblood; raw wounds, torn stitches, split skin, exposed bone and sinew where the body is broken; flies and grave dirt where it fits. Rendered with the cold precision of an anatomist's study, not cartoon splatter. No blue anywhere: these bodies have no spark of life. Hand-made imperfections, no digital gloss. Format: 2:3 portrait, the body seen from above as it lies, head and upper torso, centred, lower 20% dark and simple.</v>
      </c>
      <c r="O9" s="9" t="str">
        <f aca="false">Style!$B$5</f>
        <v>text, letters, words, captions, logos, watermark, signature, card frame, border, UI, photorealistic, 3D render, CGI, glossy, airbrushed, smooth digital painting, anime, cartoon, comic-book gore, paint-splatter blood, bright saturated red, daylight, white background, modern clothing, modern objects, blue light, living expression, open smiling eyes</v>
      </c>
      <c r="P9" s="9" t="s">
        <v>64</v>
      </c>
      <c r="Q9" s="9" t="s">
        <v>85</v>
      </c>
    </row>
    <row r="10" customFormat="false" ht="113.4" hidden="false" customHeight="false" outlineLevel="0" collapsed="false">
      <c r="A10" s="9" t="s">
        <v>86</v>
      </c>
      <c r="B10" s="9" t="s">
        <v>61</v>
      </c>
      <c r="C10" s="9" t="s">
        <v>76</v>
      </c>
      <c r="D10" s="9" t="n">
        <v>0</v>
      </c>
      <c r="E10" s="9" t="n">
        <v>0</v>
      </c>
      <c r="F10" s="9" t="n">
        <v>0</v>
      </c>
      <c r="G10" s="9" t="n">
        <v>4</v>
      </c>
      <c r="H10" s="9" t="n">
        <f aca="false">SUM(D10:G10)</f>
        <v>4</v>
      </c>
      <c r="I10" s="9" t="n">
        <v>0</v>
      </c>
      <c r="J10" s="9" t="n">
        <v>0</v>
      </c>
      <c r="K10" s="9"/>
      <c r="L10" s="9" t="s">
        <v>77</v>
      </c>
      <c r="M10" s="9" t="s">
        <v>87</v>
      </c>
      <c r="N10" s="9" t="str">
        <f aca="false">M10&amp;". "&amp;Style!$B$3&amp;" "&amp;Style!$B$7</f>
        <v>A skull and long bones in a broken lead-lined coffin, a corroded name plate beside them, a few strands of hair and rags of skin still clinging. Dark hand-drawn coloured-pencil illustration on black-toned paper. Visible pencil strokes and dense cross-hatching, waxy layered colour, soft grain of the paper showing through. Gothic 1819 Paris anatomical horror, Mary Shelley mood. Even darker than daylight allows: the body emerges from deep black, lit hard from one side by a single lantern. Visceral and unflinching: decaying flesh built up in waxy layers of grey-green, livid purple, jaundiced yellow and clotted oxblood; raw wounds, torn stitches, split skin, exposed bone and sinew where the body is broken; flies and grave dirt where it fits. Rendered with the cold precision of an anatomist's study, not cartoon splatter. No blue anywhere: these bodies have no spark of life. Hand-made imperfections, no digital gloss. Format: 2:3 portrait, the body seen from above as it lies, head and upper torso, centred, lower 20% dark and simple.</v>
      </c>
      <c r="O10" s="9" t="str">
        <f aca="false">Style!$B$5</f>
        <v>text, letters, words, captions, logos, watermark, signature, card frame, border, UI, photorealistic, 3D render, CGI, glossy, airbrushed, smooth digital painting, anime, cartoon, comic-book gore, paint-splatter blood, bright saturated red, daylight, white background, modern clothing, modern objects, blue light, living expression, open smiling eyes</v>
      </c>
      <c r="P10" s="9" t="s">
        <v>64</v>
      </c>
      <c r="Q10" s="9" t="s">
        <v>88</v>
      </c>
    </row>
    <row r="11" customFormat="false" ht="124.6" hidden="false" customHeight="false" outlineLevel="0" collapsed="false">
      <c r="A11" s="9" t="s">
        <v>89</v>
      </c>
      <c r="B11" s="9" t="s">
        <v>61</v>
      </c>
      <c r="C11" s="9" t="s">
        <v>90</v>
      </c>
      <c r="D11" s="9" t="n">
        <v>3</v>
      </c>
      <c r="E11" s="9" t="n">
        <v>4</v>
      </c>
      <c r="F11" s="9" t="n">
        <v>0</v>
      </c>
      <c r="G11" s="9" t="n">
        <v>3</v>
      </c>
      <c r="H11" s="9" t="n">
        <f aca="false">SUM(D11:G11)</f>
        <v>10</v>
      </c>
      <c r="I11" s="9" t="n">
        <v>1</v>
      </c>
      <c r="J11" s="9" t="n">
        <v>1</v>
      </c>
      <c r="K11" s="9"/>
      <c r="L11" s="9"/>
      <c r="M11" s="9" t="s">
        <v>91</v>
      </c>
      <c r="N11" s="9" t="str">
        <f aca="false">M11&amp;". "&amp;Style!$B$3&amp;" "&amp;Style!$B$7</f>
        <v>A woman in her thirties, a dried rose still pinned in her hair, cheeks swollen and split, freshly dug up by lantern light, grave dirt and roots around, dead a week, bloated, marbled green veins under the skin, skin slipping at the edges. Dark hand-drawn coloured-pencil illustration on black-toned paper. Visible pencil strokes and dense cross-hatching, waxy layered colour, soft grain of the paper showing through. Gothic 1819 Paris anatomical horror, Mary Shelley mood. Even darker than daylight allows: the body emerges from deep black, lit hard from one side by a single lantern. Visceral and unflinching: decaying flesh built up in waxy layers of grey-green, livid purple, jaundiced yellow and clotted oxblood; raw wounds, torn stitches, split skin, exposed bone and sinew where the body is broken; flies and grave dirt where it fits. Rendered with the cold precision of an anatomist's study, not cartoon splatter. No blue anywhere: these bodies have no spark of life. Hand-made imperfections, no digital gloss. Format: 2:3 portrait, the body seen from above as it lies, head and upper torso, centred, lower 20% dark and simple.</v>
      </c>
      <c r="O11" s="9" t="str">
        <f aca="false">Style!$B$5</f>
        <v>text, letters, words, captions, logos, watermark, signature, card frame, border, UI, photorealistic, 3D render, CGI, glossy, airbrushed, smooth digital painting, anime, cartoon, comic-book gore, paint-splatter blood, bright saturated red, daylight, white background, modern clothing, modern objects, blue light, living expression, open smiling eyes</v>
      </c>
      <c r="P11" s="9" t="s">
        <v>64</v>
      </c>
      <c r="Q11" s="9" t="s">
        <v>92</v>
      </c>
    </row>
    <row r="12" customFormat="false" ht="124.6" hidden="false" customHeight="false" outlineLevel="0" collapsed="false">
      <c r="A12" s="9" t="s">
        <v>93</v>
      </c>
      <c r="B12" s="9" t="s">
        <v>61</v>
      </c>
      <c r="C12" s="9" t="s">
        <v>90</v>
      </c>
      <c r="D12" s="9" t="n">
        <v>3</v>
      </c>
      <c r="E12" s="9" t="n">
        <v>4</v>
      </c>
      <c r="F12" s="9" t="n">
        <v>0</v>
      </c>
      <c r="G12" s="9" t="n">
        <v>2</v>
      </c>
      <c r="H12" s="9" t="n">
        <f aca="false">SUM(D12:G12)</f>
        <v>9</v>
      </c>
      <c r="I12" s="9" t="n">
        <v>1</v>
      </c>
      <c r="J12" s="9" t="n">
        <v>1</v>
      </c>
      <c r="K12" s="9"/>
      <c r="L12" s="9"/>
      <c r="M12" s="9" t="s">
        <v>94</v>
      </c>
      <c r="N12" s="9" t="str">
        <f aca="false">M12&amp;". "&amp;Style!$B$3&amp;" "&amp;Style!$B$7</f>
        <v>A grey-bearded Seine sailor, tattooed forearm gone purple-black, cheeks torn, freshly dug up by lantern light, grave dirt and roots around, dead a week, bloated, marbled green veins under the skin, skin slipping at the edges. Dark hand-drawn coloured-pencil illustration on black-toned paper. Visible pencil strokes and dense cross-hatching, waxy layered colour, soft grain of the paper showing through. Gothic 1819 Paris anatomical horror, Mary Shelley mood. Even darker than daylight allows: the body emerges from deep black, lit hard from one side by a single lantern. Visceral and unflinching: decaying flesh built up in waxy layers of grey-green, livid purple, jaundiced yellow and clotted oxblood; raw wounds, torn stitches, split skin, exposed bone and sinew where the body is broken; flies and grave dirt where it fits. Rendered with the cold precision of an anatomist's study, not cartoon splatter. No blue anywhere: these bodies have no spark of life. Hand-made imperfections, no digital gloss. Format: 2:3 portrait, the body seen from above as it lies, head and upper torso, centred, lower 20% dark and simple.</v>
      </c>
      <c r="O12" s="9" t="str">
        <f aca="false">Style!$B$5</f>
        <v>text, letters, words, captions, logos, watermark, signature, card frame, border, UI, photorealistic, 3D render, CGI, glossy, airbrushed, smooth digital painting, anime, cartoon, comic-book gore, paint-splatter blood, bright saturated red, daylight, white background, modern clothing, modern objects, blue light, living expression, open smiling eyes</v>
      </c>
      <c r="P12" s="9" t="s">
        <v>64</v>
      </c>
      <c r="Q12" s="9" t="s">
        <v>95</v>
      </c>
    </row>
    <row r="13" customFormat="false" ht="124.6" hidden="false" customHeight="false" outlineLevel="0" collapsed="false">
      <c r="A13" s="9" t="s">
        <v>96</v>
      </c>
      <c r="B13" s="9" t="s">
        <v>61</v>
      </c>
      <c r="C13" s="9" t="s">
        <v>90</v>
      </c>
      <c r="D13" s="9" t="n">
        <v>3</v>
      </c>
      <c r="E13" s="9" t="n">
        <v>3</v>
      </c>
      <c r="F13" s="9" t="n">
        <v>0</v>
      </c>
      <c r="G13" s="9" t="n">
        <v>2</v>
      </c>
      <c r="H13" s="9" t="n">
        <f aca="false">SUM(D13:G13)</f>
        <v>8</v>
      </c>
      <c r="I13" s="9" t="n">
        <v>1</v>
      </c>
      <c r="J13" s="9" t="n">
        <v>1</v>
      </c>
      <c r="K13" s="9"/>
      <c r="L13" s="9"/>
      <c r="M13" s="9" t="s">
        <v>97</v>
      </c>
      <c r="N13" s="9" t="str">
        <f aca="false">M13&amp;". "&amp;Style!$B$3&amp;" "&amp;Style!$B$7</f>
        <v>A young man with a rope burn around his neck, face swollen dark, tongue thick between his teeth, freshly dug up by lantern light, grave dirt and roots around, dead a week, bloated, marbled green veins under the skin, skin slipping at the edges. Dark hand-drawn coloured-pencil illustration on black-toned paper. Visible pencil strokes and dense cross-hatching, waxy layered colour, soft grain of the paper showing through. Gothic 1819 Paris anatomical horror, Mary Shelley mood. Even darker than daylight allows: the body emerges from deep black, lit hard from one side by a single lantern. Visceral and unflinching: decaying flesh built up in waxy layers of grey-green, livid purple, jaundiced yellow and clotted oxblood; raw wounds, torn stitches, split skin, exposed bone and sinew where the body is broken; flies and grave dirt where it fits. Rendered with the cold precision of an anatomist's study, not cartoon splatter. No blue anywhere: these bodies have no spark of life. Hand-made imperfections, no digital gloss. Format: 2:3 portrait, the body seen from above as it lies, head and upper torso, centred, lower 20% dark and simple.</v>
      </c>
      <c r="O13" s="9" t="str">
        <f aca="false">Style!$B$5</f>
        <v>text, letters, words, captions, logos, watermark, signature, card frame, border, UI, photorealistic, 3D render, CGI, glossy, airbrushed, smooth digital painting, anime, cartoon, comic-book gore, paint-splatter blood, bright saturated red, daylight, white background, modern clothing, modern objects, blue light, living expression, open smiling eyes</v>
      </c>
      <c r="P13" s="9" t="s">
        <v>64</v>
      </c>
      <c r="Q13" s="9" t="s">
        <v>98</v>
      </c>
    </row>
    <row r="14" customFormat="false" ht="124.6" hidden="false" customHeight="false" outlineLevel="0" collapsed="false">
      <c r="A14" s="9" t="s">
        <v>99</v>
      </c>
      <c r="B14" s="9" t="s">
        <v>61</v>
      </c>
      <c r="C14" s="9" t="s">
        <v>90</v>
      </c>
      <c r="D14" s="9" t="n">
        <v>2</v>
      </c>
      <c r="E14" s="9" t="n">
        <v>3</v>
      </c>
      <c r="F14" s="9" t="n">
        <v>0</v>
      </c>
      <c r="G14" s="9" t="n">
        <v>3</v>
      </c>
      <c r="H14" s="9" t="n">
        <f aca="false">SUM(D14:G14)</f>
        <v>8</v>
      </c>
      <c r="I14" s="9" t="n">
        <v>1</v>
      </c>
      <c r="J14" s="9" t="n">
        <v>1</v>
      </c>
      <c r="K14" s="9"/>
      <c r="L14" s="9"/>
      <c r="M14" s="9" t="s">
        <v>100</v>
      </c>
      <c r="N14" s="9" t="str">
        <f aca="false">M14&amp;". "&amp;Style!$B$3&amp;" "&amp;Style!$B$7</f>
        <v>A seamstress with needle-scarred fingers, skin waxy and torn at the lips, hair matted with soil, freshly dug up by lantern light, grave dirt and roots around, dead a week, bloated, marbled green veins under the skin, skin slipping at the edges. Dark hand-drawn coloured-pencil illustration on black-toned paper. Visible pencil strokes and dense cross-hatching, waxy layered colour, soft grain of the paper showing through. Gothic 1819 Paris anatomical horror, Mary Shelley mood. Even darker than daylight allows: the body emerges from deep black, lit hard from one side by a single lantern. Visceral and unflinching: decaying flesh built up in waxy layers of grey-green, livid purple, jaundiced yellow and clotted oxblood; raw wounds, torn stitches, split skin, exposed bone and sinew where the body is broken; flies and grave dirt where it fits. Rendered with the cold precision of an anatomist's study, not cartoon splatter. No blue anywhere: these bodies have no spark of life. Hand-made imperfections, no digital gloss. Format: 2:3 portrait, the body seen from above as it lies, head and upper torso, centred, lower 20% dark and simple.</v>
      </c>
      <c r="O14" s="9" t="str">
        <f aca="false">Style!$B$5</f>
        <v>text, letters, words, captions, logos, watermark, signature, card frame, border, UI, photorealistic, 3D render, CGI, glossy, airbrushed, smooth digital painting, anime, cartoon, comic-book gore, paint-splatter blood, bright saturated red, daylight, white background, modern clothing, modern objects, blue light, living expression, open smiling eyes</v>
      </c>
      <c r="P14" s="9" t="s">
        <v>64</v>
      </c>
      <c r="Q14" s="9" t="s">
        <v>101</v>
      </c>
    </row>
    <row r="15" customFormat="false" ht="124.6" hidden="false" customHeight="false" outlineLevel="0" collapsed="false">
      <c r="A15" s="9" t="s">
        <v>102</v>
      </c>
      <c r="B15" s="9" t="s">
        <v>61</v>
      </c>
      <c r="C15" s="9" t="s">
        <v>90</v>
      </c>
      <c r="D15" s="9" t="n">
        <v>1</v>
      </c>
      <c r="E15" s="9" t="n">
        <v>2</v>
      </c>
      <c r="F15" s="9" t="n">
        <v>0</v>
      </c>
      <c r="G15" s="9" t="n">
        <v>3</v>
      </c>
      <c r="H15" s="9" t="n">
        <f aca="false">SUM(D15:G15)</f>
        <v>6</v>
      </c>
      <c r="I15" s="9" t="n">
        <v>1</v>
      </c>
      <c r="J15" s="9" t="n">
        <v>0</v>
      </c>
      <c r="K15" s="9"/>
      <c r="L15" s="9"/>
      <c r="M15" s="9" t="s">
        <v>103</v>
      </c>
      <c r="N15" s="9" t="str">
        <f aca="false">M15&amp;". "&amp;Style!$B$3&amp;" "&amp;Style!$B$7</f>
        <v>A gaunt old priest in a mouldering cassock, flesh shrinking back from the fingernails, freshly dug up by lantern light, grave dirt and roots around, dead a week, bloated, marbled green veins under the skin, skin slipping at the edges. Dark hand-drawn coloured-pencil illustration on black-toned paper. Visible pencil strokes and dense cross-hatching, waxy layered colour, soft grain of the paper showing through. Gothic 1819 Paris anatomical horror, Mary Shelley mood. Even darker than daylight allows: the body emerges from deep black, lit hard from one side by a single lantern. Visceral and unflinching: decaying flesh built up in waxy layers of grey-green, livid purple, jaundiced yellow and clotted oxblood; raw wounds, torn stitches, split skin, exposed bone and sinew where the body is broken; flies and grave dirt where it fits. Rendered with the cold precision of an anatomist's study, not cartoon splatter. No blue anywhere: these bodies have no spark of life. Hand-made imperfections, no digital gloss. Format: 2:3 portrait, the body seen from above as it lies, head and upper torso, centred, lower 20% dark and simple.</v>
      </c>
      <c r="O15" s="9" t="str">
        <f aca="false">Style!$B$5</f>
        <v>text, letters, words, captions, logos, watermark, signature, card frame, border, UI, photorealistic, 3D render, CGI, glossy, airbrushed, smooth digital painting, anime, cartoon, comic-book gore, paint-splatter blood, bright saturated red, daylight, white background, modern clothing, modern objects, blue light, living expression, open smiling eyes</v>
      </c>
      <c r="P15" s="9" t="s">
        <v>64</v>
      </c>
      <c r="Q15" s="9" t="s">
        <v>104</v>
      </c>
    </row>
    <row r="16" customFormat="false" ht="124.6" hidden="false" customHeight="false" outlineLevel="0" collapsed="false">
      <c r="A16" s="9" t="s">
        <v>105</v>
      </c>
      <c r="B16" s="9" t="s">
        <v>61</v>
      </c>
      <c r="C16" s="9" t="s">
        <v>62</v>
      </c>
      <c r="D16" s="9" t="n">
        <v>3</v>
      </c>
      <c r="E16" s="9" t="n">
        <v>4</v>
      </c>
      <c r="F16" s="9" t="n">
        <v>0</v>
      </c>
      <c r="G16" s="9" t="n">
        <v>2</v>
      </c>
      <c r="H16" s="9" t="n">
        <f aca="false">SUM(D16:G16)</f>
        <v>9</v>
      </c>
      <c r="I16" s="9" t="n">
        <v>1</v>
      </c>
      <c r="J16" s="9" t="n">
        <v>0</v>
      </c>
      <c r="K16" s="9"/>
      <c r="L16" s="9"/>
      <c r="M16" s="9" t="s">
        <v>106</v>
      </c>
      <c r="N16" s="9" t="str">
        <f aca="false">M16&amp;". "&amp;Style!$B$3&amp;" "&amp;Style!$B$7</f>
        <v>A corpulent merchant in rotted burial silk, body burst and leaking, rings sunk into swollen fingers, freshly dug up by lantern light, grave dirt and roots around, months in the ground, flesh shrunken and blackened, skin parchment-thin and torn, teeth bared. Dark hand-drawn coloured-pencil illustration on black-toned paper. Visible pencil strokes and dense cross-hatching, waxy layered colour, soft grain of the paper showing through. Gothic 1819 Paris anatomical horror, Mary Shelley mood. Even darker than daylight allows: the body emerges from deep black, lit hard from one side by a single lantern. Visceral and unflinching: decaying flesh built up in waxy layers of grey-green, livid purple, jaundiced yellow and clotted oxblood; raw wounds, torn stitches, split skin, exposed bone and sinew where the body is broken; flies and grave dirt where it fits. Rendered with the cold precision of an anatomist's study, not cartoon splatter. No blue anywhere: these bodies have no spark of life. Hand-made imperfections, no digital gloss. Format: 2:3 portrait, the body seen from above as it lies, head and upper torso, centred, lower 20% dark and simple.</v>
      </c>
      <c r="O16" s="9" t="str">
        <f aca="false">Style!$B$5</f>
        <v>text, letters, words, captions, logos, watermark, signature, card frame, border, UI, photorealistic, 3D render, CGI, glossy, airbrushed, smooth digital painting, anime, cartoon, comic-book gore, paint-splatter blood, bright saturated red, daylight, white background, modern clothing, modern objects, blue light, living expression, open smiling eyes</v>
      </c>
      <c r="P16" s="9" t="s">
        <v>64</v>
      </c>
      <c r="Q16" s="9" t="s">
        <v>107</v>
      </c>
    </row>
    <row r="17" customFormat="false" ht="124.6" hidden="false" customHeight="false" outlineLevel="0" collapsed="false">
      <c r="A17" s="9" t="s">
        <v>108</v>
      </c>
      <c r="B17" s="9" t="s">
        <v>109</v>
      </c>
      <c r="C17" s="9" t="s">
        <v>110</v>
      </c>
      <c r="D17" s="9" t="n">
        <v>2</v>
      </c>
      <c r="E17" s="9" t="n">
        <v>3</v>
      </c>
      <c r="F17" s="9" t="n">
        <v>1</v>
      </c>
      <c r="G17" s="9" t="n">
        <v>2</v>
      </c>
      <c r="H17" s="9" t="n">
        <f aca="false">SUM(D17:G17)</f>
        <v>8</v>
      </c>
      <c r="I17" s="9" t="n">
        <v>1</v>
      </c>
      <c r="J17" s="9" t="n">
        <v>0</v>
      </c>
      <c r="K17" s="9"/>
      <c r="L17" s="9"/>
      <c r="M17" s="9" t="s">
        <v>111</v>
      </c>
      <c r="N17" s="9" t="str">
        <f aca="false">M17&amp;". "&amp;Style!$B$3&amp;" "&amp;Style!$B$7</f>
        <v>An old woman with a fever-ravaged face, a blood-soaked bandage around her throat, eye swollen shut, lying on a stained hospital pillow under coarse linen, dead a day or two, lividity pooling purple, lips greying. Dark hand-drawn coloured-pencil illustration on black-toned paper. Visible pencil strokes and dense cross-hatching, waxy layered colour, soft grain of the paper showing through. Gothic 1819 Paris anatomical horror, Mary Shelley mood. Even darker than daylight allows: the body emerges from deep black, lit hard from one side by a single lantern. Visceral and unflinching: decaying flesh built up in waxy layers of grey-green, livid purple, jaundiced yellow and clotted oxblood; raw wounds, torn stitches, split skin, exposed bone and sinew where the body is broken; flies and grave dirt where it fits. Rendered with the cold precision of an anatomist's study, not cartoon splatter. No blue anywhere: these bodies have no spark of life. Hand-made imperfections, no digital gloss. Format: 2:3 portrait, the body seen from above as it lies, head and upper torso, centred, lower 20% dark and simple.</v>
      </c>
      <c r="O17" s="9" t="str">
        <f aca="false">Style!$B$5</f>
        <v>text, letters, words, captions, logos, watermark, signature, card frame, border, UI, photorealistic, 3D render, CGI, glossy, airbrushed, smooth digital painting, anime, cartoon, comic-book gore, paint-splatter blood, bright saturated red, daylight, white background, modern clothing, modern objects, blue light, living expression, open smiling eyes</v>
      </c>
      <c r="P17" s="9" t="s">
        <v>64</v>
      </c>
      <c r="Q17" s="9" t="s">
        <v>112</v>
      </c>
    </row>
    <row r="18" customFormat="false" ht="113.4" hidden="false" customHeight="false" outlineLevel="0" collapsed="false">
      <c r="A18" s="9" t="s">
        <v>113</v>
      </c>
      <c r="B18" s="9" t="s">
        <v>109</v>
      </c>
      <c r="C18" s="9" t="s">
        <v>110</v>
      </c>
      <c r="D18" s="9" t="n">
        <v>3</v>
      </c>
      <c r="E18" s="9" t="n">
        <v>2</v>
      </c>
      <c r="F18" s="9" t="n">
        <v>1</v>
      </c>
      <c r="G18" s="9" t="n">
        <v>2</v>
      </c>
      <c r="H18" s="9" t="n">
        <f aca="false">SUM(D18:G18)</f>
        <v>8</v>
      </c>
      <c r="I18" s="9" t="n">
        <v>1</v>
      </c>
      <c r="J18" s="9" t="n">
        <v>0</v>
      </c>
      <c r="K18" s="9"/>
      <c r="L18" s="9"/>
      <c r="M18" s="9" t="s">
        <v>114</v>
      </c>
      <c r="N18" s="9" t="str">
        <f aca="false">M18&amp;". "&amp;Style!$B$3&amp;" "&amp;Style!$B$7</f>
        <v>A moustached porter with a surgical saw wound across his shoulder, sutures torn open, lying on a stained hospital pillow under coarse linen, dead a day or two, lividity pooling purple, lips greying. Dark hand-drawn coloured-pencil illustration on black-toned paper. Visible pencil strokes and dense cross-hatching, waxy layered colour, soft grain of the paper showing through. Gothic 1819 Paris anatomical horror, Mary Shelley mood. Even darker than daylight allows: the body emerges from deep black, lit hard from one side by a single lantern. Visceral and unflinching: decaying flesh built up in waxy layers of grey-green, livid purple, jaundiced yellow and clotted oxblood; raw wounds, torn stitches, split skin, exposed bone and sinew where the body is broken; flies and grave dirt where it fits. Rendered with the cold precision of an anatomist's study, not cartoon splatter. No blue anywhere: these bodies have no spark of life. Hand-made imperfections, no digital gloss. Format: 2:3 portrait, the body seen from above as it lies, head and upper torso, centred, lower 20% dark and simple.</v>
      </c>
      <c r="O18" s="9" t="str">
        <f aca="false">Style!$B$5</f>
        <v>text, letters, words, captions, logos, watermark, signature, card frame, border, UI, photorealistic, 3D render, CGI, glossy, airbrushed, smooth digital painting, anime, cartoon, comic-book gore, paint-splatter blood, bright saturated red, daylight, white background, modern clothing, modern objects, blue light, living expression, open smiling eyes</v>
      </c>
      <c r="P18" s="9" t="s">
        <v>64</v>
      </c>
      <c r="Q18" s="9" t="s">
        <v>115</v>
      </c>
    </row>
    <row r="19" customFormat="false" ht="113.4" hidden="false" customHeight="false" outlineLevel="0" collapsed="false">
      <c r="A19" s="9" t="s">
        <v>116</v>
      </c>
      <c r="B19" s="9" t="s">
        <v>109</v>
      </c>
      <c r="C19" s="9" t="s">
        <v>110</v>
      </c>
      <c r="D19" s="9" t="n">
        <v>2</v>
      </c>
      <c r="E19" s="9" t="n">
        <v>2</v>
      </c>
      <c r="F19" s="9" t="n">
        <v>1</v>
      </c>
      <c r="G19" s="9" t="n">
        <v>3</v>
      </c>
      <c r="H19" s="9" t="n">
        <f aca="false">SUM(D19:G19)</f>
        <v>8</v>
      </c>
      <c r="I19" s="9" t="n">
        <v>1</v>
      </c>
      <c r="J19" s="9" t="n">
        <v>0</v>
      </c>
      <c r="K19" s="9"/>
      <c r="L19" s="9"/>
      <c r="M19" s="9" t="s">
        <v>117</v>
      </c>
      <c r="N19" s="9" t="str">
        <f aca="false">M19&amp;". "&amp;Style!$B$3&amp;" "&amp;Style!$B$7</f>
        <v>A young clerk with a bullet wound at the temple, a crust of blood down his cheek, lying on a stained hospital pillow under coarse linen, dead a day or two, lividity pooling purple, lips greying. Dark hand-drawn coloured-pencil illustration on black-toned paper. Visible pencil strokes and dense cross-hatching, waxy layered colour, soft grain of the paper showing through. Gothic 1819 Paris anatomical horror, Mary Shelley mood. Even darker than daylight allows: the body emerges from deep black, lit hard from one side by a single lantern. Visceral and unflinching: decaying flesh built up in waxy layers of grey-green, livid purple, jaundiced yellow and clotted oxblood; raw wounds, torn stitches, split skin, exposed bone and sinew where the body is broken; flies and grave dirt where it fits. Rendered with the cold precision of an anatomist's study, not cartoon splatter. No blue anywhere: these bodies have no spark of life. Hand-made imperfections, no digital gloss. Format: 2:3 portrait, the body seen from above as it lies, head and upper torso, centred, lower 20% dark and simple.</v>
      </c>
      <c r="O19" s="9" t="str">
        <f aca="false">Style!$B$5</f>
        <v>text, letters, words, captions, logos, watermark, signature, card frame, border, UI, photorealistic, 3D render, CGI, glossy, airbrushed, smooth digital painting, anime, cartoon, comic-book gore, paint-splatter blood, bright saturated red, daylight, white background, modern clothing, modern objects, blue light, living expression, open smiling eyes</v>
      </c>
      <c r="P19" s="9" t="s">
        <v>64</v>
      </c>
      <c r="Q19" s="9" t="s">
        <v>118</v>
      </c>
    </row>
    <row r="20" customFormat="false" ht="113.4" hidden="false" customHeight="false" outlineLevel="0" collapsed="false">
      <c r="A20" s="9" t="s">
        <v>119</v>
      </c>
      <c r="B20" s="9" t="s">
        <v>109</v>
      </c>
      <c r="C20" s="9" t="s">
        <v>110</v>
      </c>
      <c r="D20" s="9" t="n">
        <v>1</v>
      </c>
      <c r="E20" s="9" t="n">
        <v>2</v>
      </c>
      <c r="F20" s="9" t="n">
        <v>1</v>
      </c>
      <c r="G20" s="9" t="n">
        <v>1</v>
      </c>
      <c r="H20" s="9" t="n">
        <f aca="false">SUM(D20:G20)</f>
        <v>5</v>
      </c>
      <c r="I20" s="9" t="n">
        <v>1</v>
      </c>
      <c r="J20" s="9" t="n">
        <v>0</v>
      </c>
      <c r="K20" s="9"/>
      <c r="L20" s="9"/>
      <c r="M20" s="9" t="s">
        <v>120</v>
      </c>
      <c r="N20" s="9" t="str">
        <f aca="false">M20&amp;". "&amp;Style!$B$3&amp;" "&amp;Style!$B$7</f>
        <v>A young woman dead of cholera, skin blue-grey and drawn tight, eyes sunken, lying on a stained hospital pillow under coarse linen, dead a day or two, lividity pooling purple, lips greying. Dark hand-drawn coloured-pencil illustration on black-toned paper. Visible pencil strokes and dense cross-hatching, waxy layered colour, soft grain of the paper showing through. Gothic 1819 Paris anatomical horror, Mary Shelley mood. Even darker than daylight allows: the body emerges from deep black, lit hard from one side by a single lantern. Visceral and unflinching: decaying flesh built up in waxy layers of grey-green, livid purple, jaundiced yellow and clotted oxblood; raw wounds, torn stitches, split skin, exposed bone and sinew where the body is broken; flies and grave dirt where it fits. Rendered with the cold precision of an anatomist's study, not cartoon splatter. No blue anywhere: these bodies have no spark of life. Hand-made imperfections, no digital gloss. Format: 2:3 portrait, the body seen from above as it lies, head and upper torso, centred, lower 20% dark and simple.</v>
      </c>
      <c r="O20" s="9" t="str">
        <f aca="false">Style!$B$5</f>
        <v>text, letters, words, captions, logos, watermark, signature, card frame, border, UI, photorealistic, 3D render, CGI, glossy, airbrushed, smooth digital painting, anime, cartoon, comic-book gore, paint-splatter blood, bright saturated red, daylight, white background, modern clothing, modern objects, blue light, living expression, open smiling eyes</v>
      </c>
      <c r="P20" s="9" t="s">
        <v>64</v>
      </c>
      <c r="Q20" s="9" t="s">
        <v>121</v>
      </c>
    </row>
    <row r="21" customFormat="false" ht="113.4" hidden="false" customHeight="false" outlineLevel="0" collapsed="false">
      <c r="A21" s="9" t="s">
        <v>122</v>
      </c>
      <c r="B21" s="9" t="s">
        <v>109</v>
      </c>
      <c r="C21" s="9" t="s">
        <v>123</v>
      </c>
      <c r="D21" s="9" t="n">
        <v>2</v>
      </c>
      <c r="E21" s="9" t="n">
        <v>3</v>
      </c>
      <c r="F21" s="9" t="n">
        <v>1</v>
      </c>
      <c r="G21" s="9" t="n">
        <v>3</v>
      </c>
      <c r="H21" s="9" t="n">
        <f aca="false">SUM(D21:G21)</f>
        <v>9</v>
      </c>
      <c r="I21" s="9" t="n">
        <v>2</v>
      </c>
      <c r="J21" s="9" t="n">
        <v>0</v>
      </c>
      <c r="K21" s="9"/>
      <c r="L21" s="9"/>
      <c r="M21" s="9" t="s">
        <v>124</v>
      </c>
      <c r="N21" s="9" t="str">
        <f aca="false">M21&amp;". "&amp;Style!$B$3&amp;" "&amp;Style!$B$7</f>
        <v>A bald old man with a sunken chest, bruised black where the surgeon’s ribs-spreader went in, lying on a stained hospital pillow under coarse linen, freshly dead, skin still waxy-pale, blood barely dry. Dark hand-drawn coloured-pencil illustration on black-toned paper. Visible pencil strokes and dense cross-hatching, waxy layered colour, soft grain of the paper showing through. Gothic 1819 Paris anatomical horror, Mary Shelley mood. Even darker than daylight allows: the body emerges from deep black, lit hard from one side by a single lantern. Visceral and unflinching: decaying flesh built up in waxy layers of grey-green, livid purple, jaundiced yellow and clotted oxblood; raw wounds, torn stitches, split skin, exposed bone and sinew where the body is broken; flies and grave dirt where it fits. Rendered with the cold precision of an anatomist's study, not cartoon splatter. No blue anywhere: these bodies have no spark of life. Hand-made imperfections, no digital gloss. Format: 2:3 portrait, the body seen from above as it lies, head and upper torso, centred, lower 20% dark and simple.</v>
      </c>
      <c r="O21" s="9" t="str">
        <f aca="false">Style!$B$5</f>
        <v>text, letters, words, captions, logos, watermark, signature, card frame, border, UI, photorealistic, 3D render, CGI, glossy, airbrushed, smooth digital painting, anime, cartoon, comic-book gore, paint-splatter blood, bright saturated red, daylight, white background, modern clothing, modern objects, blue light, living expression, open smiling eyes</v>
      </c>
      <c r="P21" s="9" t="s">
        <v>64</v>
      </c>
      <c r="Q21" s="9" t="s">
        <v>125</v>
      </c>
    </row>
    <row r="22" customFormat="false" ht="113.4" hidden="false" customHeight="false" outlineLevel="0" collapsed="false">
      <c r="A22" s="9" t="s">
        <v>126</v>
      </c>
      <c r="B22" s="9" t="s">
        <v>109</v>
      </c>
      <c r="C22" s="9" t="s">
        <v>123</v>
      </c>
      <c r="D22" s="9" t="n">
        <v>3</v>
      </c>
      <c r="E22" s="9" t="n">
        <v>2</v>
      </c>
      <c r="F22" s="9" t="n">
        <v>1</v>
      </c>
      <c r="G22" s="9" t="n">
        <v>3</v>
      </c>
      <c r="H22" s="9" t="n">
        <f aca="false">SUM(D22:G22)</f>
        <v>9</v>
      </c>
      <c r="I22" s="9" t="n">
        <v>2</v>
      </c>
      <c r="J22" s="9" t="n">
        <v>0</v>
      </c>
      <c r="K22" s="9"/>
      <c r="L22" s="9"/>
      <c r="M22" s="9" t="s">
        <v>127</v>
      </c>
      <c r="N22" s="9" t="str">
        <f aca="false">M22&amp;". "&amp;Style!$B$3&amp;" "&amp;Style!$B$7</f>
        <v>A coal porter with a crushed chest, broken ribs pushing against bloodied linen, lying on a stained hospital pillow under coarse linen, freshly dead, skin still waxy-pale, blood barely dry. Dark hand-drawn coloured-pencil illustration on black-toned paper. Visible pencil strokes and dense cross-hatching, waxy layered colour, soft grain of the paper showing through. Gothic 1819 Paris anatomical horror, Mary Shelley mood. Even darker than daylight allows: the body emerges from deep black, lit hard from one side by a single lantern. Visceral and unflinching: decaying flesh built up in waxy layers of grey-green, livid purple, jaundiced yellow and clotted oxblood; raw wounds, torn stitches, split skin, exposed bone and sinew where the body is broken; flies and grave dirt where it fits. Rendered with the cold precision of an anatomist's study, not cartoon splatter. No blue anywhere: these bodies have no spark of life. Hand-made imperfections, no digital gloss. Format: 2:3 portrait, the body seen from above as it lies, head and upper torso, centred, lower 20% dark and simple.</v>
      </c>
      <c r="O22" s="9" t="str">
        <f aca="false">Style!$B$5</f>
        <v>text, letters, words, captions, logos, watermark, signature, card frame, border, UI, photorealistic, 3D render, CGI, glossy, airbrushed, smooth digital painting, anime, cartoon, comic-book gore, paint-splatter blood, bright saturated red, daylight, white background, modern clothing, modern objects, blue light, living expression, open smiling eyes</v>
      </c>
      <c r="P22" s="9" t="s">
        <v>64</v>
      </c>
      <c r="Q22" s="9" t="s">
        <v>128</v>
      </c>
    </row>
    <row r="23" customFormat="false" ht="113.4" hidden="false" customHeight="false" outlineLevel="0" collapsed="false">
      <c r="A23" s="9" t="s">
        <v>129</v>
      </c>
      <c r="B23" s="9" t="s">
        <v>109</v>
      </c>
      <c r="C23" s="9" t="s">
        <v>123</v>
      </c>
      <c r="D23" s="9" t="n">
        <v>2</v>
      </c>
      <c r="E23" s="9" t="n">
        <v>3</v>
      </c>
      <c r="F23" s="9" t="n">
        <v>2</v>
      </c>
      <c r="G23" s="9" t="n">
        <v>1</v>
      </c>
      <c r="H23" s="9" t="n">
        <f aca="false">SUM(D23:G23)</f>
        <v>8</v>
      </c>
      <c r="I23" s="9" t="n">
        <v>2</v>
      </c>
      <c r="J23" s="9" t="n">
        <v>0</v>
      </c>
      <c r="K23" s="9"/>
      <c r="L23" s="9"/>
      <c r="M23" s="9" t="s">
        <v>130</v>
      </c>
      <c r="N23" s="9" t="str">
        <f aca="false">M23&amp;". "&amp;Style!$B$3&amp;" "&amp;Style!$B$7</f>
        <v>A long-haired young man with a deep gash from brow to jaw, stitches half done, lying on a stained hospital pillow under coarse linen, freshly dead, skin still waxy-pale, blood barely dry. Dark hand-drawn coloured-pencil illustration on black-toned paper. Visible pencil strokes and dense cross-hatching, waxy layered colour, soft grain of the paper showing through. Gothic 1819 Paris anatomical horror, Mary Shelley mood. Even darker than daylight allows: the body emerges from deep black, lit hard from one side by a single lantern. Visceral and unflinching: decaying flesh built up in waxy layers of grey-green, livid purple, jaundiced yellow and clotted oxblood; raw wounds, torn stitches, split skin, exposed bone and sinew where the body is broken; flies and grave dirt where it fits. Rendered with the cold precision of an anatomist's study, not cartoon splatter. No blue anywhere: these bodies have no spark of life. Hand-made imperfections, no digital gloss. Format: 2:3 portrait, the body seen from above as it lies, head and upper torso, centred, lower 20% dark and simple.</v>
      </c>
      <c r="O23" s="9" t="str">
        <f aca="false">Style!$B$5</f>
        <v>text, letters, words, captions, logos, watermark, signature, card frame, border, UI, photorealistic, 3D render, CGI, glossy, airbrushed, smooth digital painting, anime, cartoon, comic-book gore, paint-splatter blood, bright saturated red, daylight, white background, modern clothing, modern objects, blue light, living expression, open smiling eyes</v>
      </c>
      <c r="P23" s="9" t="s">
        <v>64</v>
      </c>
      <c r="Q23" s="9" t="s">
        <v>131</v>
      </c>
    </row>
    <row r="24" customFormat="false" ht="113.4" hidden="false" customHeight="false" outlineLevel="0" collapsed="false">
      <c r="A24" s="9" t="s">
        <v>132</v>
      </c>
      <c r="B24" s="9" t="s">
        <v>109</v>
      </c>
      <c r="C24" s="9" t="s">
        <v>110</v>
      </c>
      <c r="D24" s="9" t="n">
        <v>2</v>
      </c>
      <c r="E24" s="9" t="n">
        <v>3</v>
      </c>
      <c r="F24" s="9" t="n">
        <v>2</v>
      </c>
      <c r="G24" s="9" t="n">
        <v>2</v>
      </c>
      <c r="H24" s="9" t="n">
        <f aca="false">SUM(D24:G24)</f>
        <v>9</v>
      </c>
      <c r="I24" s="9" t="n">
        <v>1</v>
      </c>
      <c r="J24" s="9" t="n">
        <v>0</v>
      </c>
      <c r="K24" s="9"/>
      <c r="L24" s="9"/>
      <c r="M24" s="9" t="s">
        <v>133</v>
      </c>
      <c r="N24" s="9" t="str">
        <f aca="false">M24&amp;". "&amp;Style!$B$3&amp;" "&amp;Style!$B$7</f>
        <v>A washerwoman with a bloody amputation stump at the elbow, the bandage slipping, lying on a stained hospital pillow under coarse linen, dead a day or two, lividity pooling purple, lips greying. Dark hand-drawn coloured-pencil illustration on black-toned paper. Visible pencil strokes and dense cross-hatching, waxy layered colour, soft grain of the paper showing through. Gothic 1819 Paris anatomical horror, Mary Shelley mood. Even darker than daylight allows: the body emerges from deep black, lit hard from one side by a single lantern. Visceral and unflinching: decaying flesh built up in waxy layers of grey-green, livid purple, jaundiced yellow and clotted oxblood; raw wounds, torn stitches, split skin, exposed bone and sinew where the body is broken; flies and grave dirt where it fits. Rendered with the cold precision of an anatomist's study, not cartoon splatter. No blue anywhere: these bodies have no spark of life. Hand-made imperfections, no digital gloss. Format: 2:3 portrait, the body seen from above as it lies, head and upper torso, centred, lower 20% dark and simple.</v>
      </c>
      <c r="O24" s="9" t="str">
        <f aca="false">Style!$B$5</f>
        <v>text, letters, words, captions, logos, watermark, signature, card frame, border, UI, photorealistic, 3D render, CGI, glossy, airbrushed, smooth digital painting, anime, cartoon, comic-book gore, paint-splatter blood, bright saturated red, daylight, white background, modern clothing, modern objects, blue light, living expression, open smiling eyes</v>
      </c>
      <c r="P24" s="9" t="s">
        <v>64</v>
      </c>
      <c r="Q24" s="9" t="s">
        <v>134</v>
      </c>
    </row>
    <row r="25" customFormat="false" ht="113.4" hidden="false" customHeight="false" outlineLevel="0" collapsed="false">
      <c r="A25" s="9" t="s">
        <v>135</v>
      </c>
      <c r="B25" s="9" t="s">
        <v>109</v>
      </c>
      <c r="C25" s="9" t="s">
        <v>123</v>
      </c>
      <c r="D25" s="9" t="n">
        <v>2</v>
      </c>
      <c r="E25" s="9" t="n">
        <v>4</v>
      </c>
      <c r="F25" s="9" t="n">
        <v>2</v>
      </c>
      <c r="G25" s="9" t="n">
        <v>2</v>
      </c>
      <c r="H25" s="9" t="n">
        <f aca="false">SUM(D25:G25)</f>
        <v>10</v>
      </c>
      <c r="I25" s="9" t="n">
        <v>2</v>
      </c>
      <c r="J25" s="9" t="n">
        <v>0</v>
      </c>
      <c r="K25" s="9"/>
      <c r="L25" s="9"/>
      <c r="M25" s="9" t="s">
        <v>136</v>
      </c>
      <c r="N25" s="9" t="str">
        <f aca="false">M25&amp;". "&amp;Style!$B$3&amp;" "&amp;Style!$B$7</f>
        <v>An old soldier with gangrene creeping black up his neck from an old wound, lying on a stained hospital pillow under coarse linen, freshly dead, skin still waxy-pale, blood barely dry. Dark hand-drawn coloured-pencil illustration on black-toned paper. Visible pencil strokes and dense cross-hatching, waxy layered colour, soft grain of the paper showing through. Gothic 1819 Paris anatomical horror, Mary Shelley mood. Even darker than daylight allows: the body emerges from deep black, lit hard from one side by a single lantern. Visceral and unflinching: decaying flesh built up in waxy layers of grey-green, livid purple, jaundiced yellow and clotted oxblood; raw wounds, torn stitches, split skin, exposed bone and sinew where the body is broken; flies and grave dirt where it fits. Rendered with the cold precision of an anatomist's study, not cartoon splatter. No blue anywhere: these bodies have no spark of life. Hand-made imperfections, no digital gloss. Format: 2:3 portrait, the body seen from above as it lies, head and upper torso, centred, lower 20% dark and simple.</v>
      </c>
      <c r="O25" s="9" t="str">
        <f aca="false">Style!$B$5</f>
        <v>text, letters, words, captions, logos, watermark, signature, card frame, border, UI, photorealistic, 3D render, CGI, glossy, airbrushed, smooth digital painting, anime, cartoon, comic-book gore, paint-splatter blood, bright saturated red, daylight, white background, modern clothing, modern objects, blue light, living expression, open smiling eyes</v>
      </c>
      <c r="P25" s="9" t="s">
        <v>64</v>
      </c>
      <c r="Q25" s="9" t="s">
        <v>137</v>
      </c>
    </row>
    <row r="26" customFormat="false" ht="113.4" hidden="false" customHeight="false" outlineLevel="0" collapsed="false">
      <c r="A26" s="9" t="s">
        <v>138</v>
      </c>
      <c r="B26" s="9" t="s">
        <v>109</v>
      </c>
      <c r="C26" s="9" t="s">
        <v>123</v>
      </c>
      <c r="D26" s="9" t="n">
        <v>2</v>
      </c>
      <c r="E26" s="9" t="n">
        <v>3</v>
      </c>
      <c r="F26" s="9" t="n">
        <v>2</v>
      </c>
      <c r="G26" s="9" t="n">
        <v>2</v>
      </c>
      <c r="H26" s="9" t="n">
        <f aca="false">SUM(D26:G26)</f>
        <v>9</v>
      </c>
      <c r="I26" s="9" t="n">
        <v>2</v>
      </c>
      <c r="J26" s="9" t="n">
        <v>0</v>
      </c>
      <c r="K26" s="9"/>
      <c r="L26" s="9"/>
      <c r="M26" s="9" t="s">
        <v>139</v>
      </c>
      <c r="N26" s="9" t="str">
        <f aca="false">M26&amp;". "&amp;Style!$B$3&amp;" "&amp;Style!$B$7</f>
        <v>A woman with a slashed throat clumsily sutured, dried blood in the pillow, lying on a stained hospital pillow under coarse linen, freshly dead, skin still waxy-pale, blood barely dry. Dark hand-drawn coloured-pencil illustration on black-toned paper. Visible pencil strokes and dense cross-hatching, waxy layered colour, soft grain of the paper showing through. Gothic 1819 Paris anatomical horror, Mary Shelley mood. Even darker than daylight allows: the body emerges from deep black, lit hard from one side by a single lantern. Visceral and unflinching: decaying flesh built up in waxy layers of grey-green, livid purple, jaundiced yellow and clotted oxblood; raw wounds, torn stitches, split skin, exposed bone and sinew where the body is broken; flies and grave dirt where it fits. Rendered with the cold precision of an anatomist's study, not cartoon splatter. No blue anywhere: these bodies have no spark of life. Hand-made imperfections, no digital gloss. Format: 2:3 portrait, the body seen from above as it lies, head and upper torso, centred, lower 20% dark and simple.</v>
      </c>
      <c r="O26" s="9" t="str">
        <f aca="false">Style!$B$5</f>
        <v>text, letters, words, captions, logos, watermark, signature, card frame, border, UI, photorealistic, 3D render, CGI, glossy, airbrushed, smooth digital painting, anime, cartoon, comic-book gore, paint-splatter blood, bright saturated red, daylight, white background, modern clothing, modern objects, blue light, living expression, open smiling eyes</v>
      </c>
      <c r="P26" s="9" t="s">
        <v>64</v>
      </c>
      <c r="Q26" s="9" t="s">
        <v>140</v>
      </c>
    </row>
    <row r="27" customFormat="false" ht="113.4" hidden="false" customHeight="false" outlineLevel="0" collapsed="false">
      <c r="A27" s="9" t="s">
        <v>141</v>
      </c>
      <c r="B27" s="9" t="s">
        <v>109</v>
      </c>
      <c r="C27" s="9" t="s">
        <v>123</v>
      </c>
      <c r="D27" s="9" t="n">
        <v>2</v>
      </c>
      <c r="E27" s="9" t="n">
        <v>3</v>
      </c>
      <c r="F27" s="9" t="n">
        <v>1</v>
      </c>
      <c r="G27" s="9" t="n">
        <v>3</v>
      </c>
      <c r="H27" s="9" t="n">
        <f aca="false">SUM(D27:G27)</f>
        <v>9</v>
      </c>
      <c r="I27" s="9" t="n">
        <v>2</v>
      </c>
      <c r="J27" s="9" t="n">
        <v>0</v>
      </c>
      <c r="K27" s="9"/>
      <c r="L27" s="9"/>
      <c r="M27" s="9" t="s">
        <v>142</v>
      </c>
      <c r="N27" s="9" t="str">
        <f aca="false">M27&amp;". "&amp;Style!$B$3&amp;" "&amp;Style!$B$7</f>
        <v>A stout baker, face mottled purple from apoplexy, foam dried at the lips, lying on a stained hospital pillow under coarse linen, freshly dead, skin still waxy-pale, blood barely dry. Dark hand-drawn coloured-pencil illustration on black-toned paper. Visible pencil strokes and dense cross-hatching, waxy layered colour, soft grain of the paper showing through. Gothic 1819 Paris anatomical horror, Mary Shelley mood. Even darker than daylight allows: the body emerges from deep black, lit hard from one side by a single lantern. Visceral and unflinching: decaying flesh built up in waxy layers of grey-green, livid purple, jaundiced yellow and clotted oxblood; raw wounds, torn stitches, split skin, exposed bone and sinew where the body is broken; flies and grave dirt where it fits. Rendered with the cold precision of an anatomist's study, not cartoon splatter. No blue anywhere: these bodies have no spark of life. Hand-made imperfections, no digital gloss. Format: 2:3 portrait, the body seen from above as it lies, head and upper torso, centred, lower 20% dark and simple.</v>
      </c>
      <c r="O27" s="9" t="str">
        <f aca="false">Style!$B$5</f>
        <v>text, letters, words, captions, logos, watermark, signature, card frame, border, UI, photorealistic, 3D render, CGI, glossy, airbrushed, smooth digital painting, anime, cartoon, comic-book gore, paint-splatter blood, bright saturated red, daylight, white background, modern clothing, modern objects, blue light, living expression, open smiling eyes</v>
      </c>
      <c r="P27" s="9" t="s">
        <v>64</v>
      </c>
      <c r="Q27" s="9" t="s">
        <v>143</v>
      </c>
    </row>
    <row r="28" customFormat="false" ht="113.4" hidden="false" customHeight="false" outlineLevel="0" collapsed="false">
      <c r="A28" s="9" t="s">
        <v>144</v>
      </c>
      <c r="B28" s="9" t="s">
        <v>109</v>
      </c>
      <c r="C28" s="9" t="s">
        <v>123</v>
      </c>
      <c r="D28" s="9" t="n">
        <v>3</v>
      </c>
      <c r="E28" s="9" t="n">
        <v>2</v>
      </c>
      <c r="F28" s="9" t="n">
        <v>1</v>
      </c>
      <c r="G28" s="9" t="n">
        <v>3</v>
      </c>
      <c r="H28" s="9" t="n">
        <f aca="false">SUM(D28:G28)</f>
        <v>9</v>
      </c>
      <c r="I28" s="9" t="n">
        <v>2</v>
      </c>
      <c r="J28" s="9" t="n">
        <v>0</v>
      </c>
      <c r="K28" s="9"/>
      <c r="L28" s="9"/>
      <c r="M28" s="9" t="s">
        <v>145</v>
      </c>
      <c r="N28" s="9" t="str">
        <f aca="false">M28&amp;". "&amp;Style!$B$3&amp;" "&amp;Style!$B$7</f>
        <v>A thin young man with a bloody chest tube wound, ribs showing through the skin, lying on a stained hospital pillow under coarse linen, freshly dead, skin still waxy-pale, blood barely dry. Dark hand-drawn coloured-pencil illustration on black-toned paper. Visible pencil strokes and dense cross-hatching, waxy layered colour, soft grain of the paper showing through. Gothic 1819 Paris anatomical horror, Mary Shelley mood. Even darker than daylight allows: the body emerges from deep black, lit hard from one side by a single lantern. Visceral and unflinching: decaying flesh built up in waxy layers of grey-green, livid purple, jaundiced yellow and clotted oxblood; raw wounds, torn stitches, split skin, exposed bone and sinew where the body is broken; flies and grave dirt where it fits. Rendered with the cold precision of an anatomist's study, not cartoon splatter. No blue anywhere: these bodies have no spark of life. Hand-made imperfections, no digital gloss. Format: 2:3 portrait, the body seen from above as it lies, head and upper torso, centred, lower 20% dark and simple.</v>
      </c>
      <c r="O28" s="9" t="str">
        <f aca="false">Style!$B$5</f>
        <v>text, letters, words, captions, logos, watermark, signature, card frame, border, UI, photorealistic, 3D render, CGI, glossy, airbrushed, smooth digital painting, anime, cartoon, comic-book gore, paint-splatter blood, bright saturated red, daylight, white background, modern clothing, modern objects, blue light, living expression, open smiling eyes</v>
      </c>
      <c r="P28" s="9" t="s">
        <v>64</v>
      </c>
      <c r="Q28" s="9" t="s">
        <v>146</v>
      </c>
    </row>
    <row r="29" customFormat="false" ht="113.4" hidden="false" customHeight="false" outlineLevel="0" collapsed="false">
      <c r="A29" s="9" t="s">
        <v>147</v>
      </c>
      <c r="B29" s="9" t="s">
        <v>109</v>
      </c>
      <c r="C29" s="9" t="s">
        <v>123</v>
      </c>
      <c r="D29" s="9" t="n">
        <v>2</v>
      </c>
      <c r="E29" s="9" t="n">
        <v>3</v>
      </c>
      <c r="F29" s="9" t="n">
        <v>2</v>
      </c>
      <c r="G29" s="9" t="n">
        <v>1</v>
      </c>
      <c r="H29" s="9" t="n">
        <f aca="false">SUM(D29:G29)</f>
        <v>8</v>
      </c>
      <c r="I29" s="9" t="n">
        <v>2</v>
      </c>
      <c r="J29" s="9" t="n">
        <v>0</v>
      </c>
      <c r="K29" s="9"/>
      <c r="L29" s="9"/>
      <c r="M29" s="9" t="s">
        <v>148</v>
      </c>
      <c r="N29" s="9" t="str">
        <f aca="false">M29&amp;". "&amp;Style!$B$3&amp;" "&amp;Style!$B$7</f>
        <v>A woman with tight curls, lips split and swollen from a beating, bruised eye, lying on a stained hospital pillow under coarse linen, freshly dead, skin still waxy-pale, blood barely dry. Dark hand-drawn coloured-pencil illustration on black-toned paper. Visible pencil strokes and dense cross-hatching, waxy layered colour, soft grain of the paper showing through. Gothic 1819 Paris anatomical horror, Mary Shelley mood. Even darker than daylight allows: the body emerges from deep black, lit hard from one side by a single lantern. Visceral and unflinching: decaying flesh built up in waxy layers of grey-green, livid purple, jaundiced yellow and clotted oxblood; raw wounds, torn stitches, split skin, exposed bone and sinew where the body is broken; flies and grave dirt where it fits. Rendered with the cold precision of an anatomist's study, not cartoon splatter. No blue anywhere: these bodies have no spark of life. Hand-made imperfections, no digital gloss. Format: 2:3 portrait, the body seen from above as it lies, head and upper torso, centred, lower 20% dark and simple.</v>
      </c>
      <c r="O29" s="9" t="str">
        <f aca="false">Style!$B$5</f>
        <v>text, letters, words, captions, logos, watermark, signature, card frame, border, UI, photorealistic, 3D render, CGI, glossy, airbrushed, smooth digital painting, anime, cartoon, comic-book gore, paint-splatter blood, bright saturated red, daylight, white background, modern clothing, modern objects, blue light, living expression, open smiling eyes</v>
      </c>
      <c r="P29" s="9" t="s">
        <v>64</v>
      </c>
      <c r="Q29" s="9" t="s">
        <v>149</v>
      </c>
    </row>
    <row r="30" customFormat="false" ht="113.4" hidden="false" customHeight="false" outlineLevel="0" collapsed="false">
      <c r="A30" s="9" t="s">
        <v>150</v>
      </c>
      <c r="B30" s="9" t="s">
        <v>109</v>
      </c>
      <c r="C30" s="9" t="s">
        <v>110</v>
      </c>
      <c r="D30" s="9" t="n">
        <v>2</v>
      </c>
      <c r="E30" s="9" t="n">
        <v>4</v>
      </c>
      <c r="F30" s="9" t="n">
        <v>2</v>
      </c>
      <c r="G30" s="9" t="n">
        <v>2</v>
      </c>
      <c r="H30" s="9" t="n">
        <f aca="false">SUM(D30:G30)</f>
        <v>10</v>
      </c>
      <c r="I30" s="9" t="n">
        <v>1</v>
      </c>
      <c r="J30" s="9" t="n">
        <v>0</v>
      </c>
      <c r="K30" s="9"/>
      <c r="L30" s="9"/>
      <c r="M30" s="9" t="s">
        <v>151</v>
      </c>
      <c r="N30" s="9" t="str">
        <f aca="false">M30&amp;". "&amp;Style!$B$3&amp;" "&amp;Style!$B$7</f>
        <v>A white-haired old man with a stab wound under the ribs, linen stiff with blood, lying on a stained hospital pillow under coarse linen, dead a day or two, lividity pooling purple, lips greying. Dark hand-drawn coloured-pencil illustration on black-toned paper. Visible pencil strokes and dense cross-hatching, waxy layered colour, soft grain of the paper showing through. Gothic 1819 Paris anatomical horror, Mary Shelley mood. Even darker than daylight allows: the body emerges from deep black, lit hard from one side by a single lantern. Visceral and unflinching: decaying flesh built up in waxy layers of grey-green, livid purple, jaundiced yellow and clotted oxblood; raw wounds, torn stitches, split skin, exposed bone and sinew where the body is broken; flies and grave dirt where it fits. Rendered with the cold precision of an anatomist's study, not cartoon splatter. No blue anywhere: these bodies have no spark of life. Hand-made imperfections, no digital gloss. Format: 2:3 portrait, the body seen from above as it lies, head and upper torso, centred, lower 20% dark and simple.</v>
      </c>
      <c r="O30" s="9" t="str">
        <f aca="false">Style!$B$5</f>
        <v>text, letters, words, captions, logos, watermark, signature, card frame, border, UI, photorealistic, 3D render, CGI, glossy, airbrushed, smooth digital painting, anime, cartoon, comic-book gore, paint-splatter blood, bright saturated red, daylight, white background, modern clothing, modern objects, blue light, living expression, open smiling eyes</v>
      </c>
      <c r="P30" s="9" t="s">
        <v>64</v>
      </c>
      <c r="Q30" s="9" t="s">
        <v>152</v>
      </c>
    </row>
    <row r="31" customFormat="false" ht="124.6" hidden="false" customHeight="false" outlineLevel="0" collapsed="false">
      <c r="A31" s="9" t="s">
        <v>153</v>
      </c>
      <c r="B31" s="9" t="s">
        <v>154</v>
      </c>
      <c r="C31" s="9" t="s">
        <v>110</v>
      </c>
      <c r="D31" s="9" t="n">
        <v>3</v>
      </c>
      <c r="E31" s="9" t="n">
        <v>3</v>
      </c>
      <c r="F31" s="9" t="n">
        <v>0</v>
      </c>
      <c r="G31" s="9" t="n">
        <v>3</v>
      </c>
      <c r="H31" s="9" t="n">
        <f aca="false">SUM(D31:G31)</f>
        <v>9</v>
      </c>
      <c r="I31" s="9" t="n">
        <v>1</v>
      </c>
      <c r="J31" s="9" t="n">
        <v>0</v>
      </c>
      <c r="K31" s="9"/>
      <c r="L31" s="9"/>
      <c r="M31" s="9" t="s">
        <v>155</v>
      </c>
      <c r="N31" s="9" t="str">
        <f aca="false">M31&amp;". "&amp;Style!$B$3&amp;" "&amp;Style!$B$7</f>
        <v>A drowned woman from the Seine, wild wet hair full of river weed, face swollen and blotched, lying on a cold stone morgue slab, a sheet pulled down to the chest, dead a day or two, lividity pooling purple, lips greying. Dark hand-drawn coloured-pencil illustration on black-toned paper. Visible pencil strokes and dense cross-hatching, waxy layered colour, soft grain of the paper showing through. Gothic 1819 Paris anatomical horror, Mary Shelley mood. Even darker than daylight allows: the body emerges from deep black, lit hard from one side by a single lantern. Visceral and unflinching: decaying flesh built up in waxy layers of grey-green, livid purple, jaundiced yellow and clotted oxblood; raw wounds, torn stitches, split skin, exposed bone and sinew where the body is broken; flies and grave dirt where it fits. Rendered with the cold precision of an anatomist's study, not cartoon splatter. No blue anywhere: these bodies have no spark of life. Hand-made imperfections, no digital gloss. Format: 2:3 portrait, the body seen from above as it lies, head and upper torso, centred, lower 20% dark and simple.</v>
      </c>
      <c r="O31" s="9" t="str">
        <f aca="false">Style!$B$5</f>
        <v>text, letters, words, captions, logos, watermark, signature, card frame, border, UI, photorealistic, 3D render, CGI, glossy, airbrushed, smooth digital painting, anime, cartoon, comic-book gore, paint-splatter blood, bright saturated red, daylight, white background, modern clothing, modern objects, blue light, living expression, open smiling eyes</v>
      </c>
      <c r="P31" s="9" t="s">
        <v>64</v>
      </c>
      <c r="Q31" s="9" t="s">
        <v>156</v>
      </c>
    </row>
    <row r="32" customFormat="false" ht="124.6" hidden="false" customHeight="false" outlineLevel="0" collapsed="false">
      <c r="A32" s="9" t="s">
        <v>157</v>
      </c>
      <c r="B32" s="9" t="s">
        <v>154</v>
      </c>
      <c r="C32" s="9" t="s">
        <v>90</v>
      </c>
      <c r="D32" s="9" t="n">
        <v>2</v>
      </c>
      <c r="E32" s="9" t="n">
        <v>4</v>
      </c>
      <c r="F32" s="9" t="n">
        <v>0</v>
      </c>
      <c r="G32" s="9" t="n">
        <v>2</v>
      </c>
      <c r="H32" s="9" t="n">
        <f aca="false">SUM(D32:G32)</f>
        <v>8</v>
      </c>
      <c r="I32" s="9" t="n">
        <v>1</v>
      </c>
      <c r="J32" s="9" t="n">
        <v>0</v>
      </c>
      <c r="K32" s="9"/>
      <c r="L32" s="9"/>
      <c r="M32" s="9" t="s">
        <v>158</v>
      </c>
      <c r="N32" s="9" t="str">
        <f aca="false">M32&amp;". "&amp;Style!$B$3&amp;" "&amp;Style!$B$7</f>
        <v>A drowned old bargeman, skin wrinkled white and peeling from the water, eyes clouded, lying on a cold stone morgue slab, a sheet pulled down to the chest, dead a week, bloated, marbled green veins under the skin, skin slipping at the edges. Dark hand-drawn coloured-pencil illustration on black-toned paper. Visible pencil strokes and dense cross-hatching, waxy layered colour, soft grain of the paper showing through. Gothic 1819 Paris anatomical horror, Mary Shelley mood. Even darker than daylight allows: the body emerges from deep black, lit hard from one side by a single lantern. Visceral and unflinching: decaying flesh built up in waxy layers of grey-green, livid purple, jaundiced yellow and clotted oxblood; raw wounds, torn stitches, split skin, exposed bone and sinew where the body is broken; flies and grave dirt where it fits. Rendered with the cold precision of an anatomist's study, not cartoon splatter. No blue anywhere: these bodies have no spark of life. Hand-made imperfections, no digital gloss. Format: 2:3 portrait, the body seen from above as it lies, head and upper torso, centred, lower 20% dark and simple.</v>
      </c>
      <c r="O32" s="9" t="str">
        <f aca="false">Style!$B$5</f>
        <v>text, letters, words, captions, logos, watermark, signature, card frame, border, UI, photorealistic, 3D render, CGI, glossy, airbrushed, smooth digital painting, anime, cartoon, comic-book gore, paint-splatter blood, bright saturated red, daylight, white background, modern clothing, modern objects, blue light, living expression, open smiling eyes</v>
      </c>
      <c r="P32" s="9" t="s">
        <v>64</v>
      </c>
      <c r="Q32" s="9" t="s">
        <v>159</v>
      </c>
    </row>
    <row r="33" customFormat="false" ht="124.6" hidden="false" customHeight="false" outlineLevel="0" collapsed="false">
      <c r="A33" s="9" t="s">
        <v>160</v>
      </c>
      <c r="B33" s="9" t="s">
        <v>154</v>
      </c>
      <c r="C33" s="9" t="s">
        <v>90</v>
      </c>
      <c r="D33" s="9" t="n">
        <v>2</v>
      </c>
      <c r="E33" s="9" t="n">
        <v>3</v>
      </c>
      <c r="F33" s="9" t="n">
        <v>0</v>
      </c>
      <c r="G33" s="9" t="n">
        <v>2</v>
      </c>
      <c r="H33" s="9" t="n">
        <f aca="false">SUM(D33:G33)</f>
        <v>7</v>
      </c>
      <c r="I33" s="9" t="n">
        <v>1</v>
      </c>
      <c r="J33" s="9" t="n">
        <v>0</v>
      </c>
      <c r="K33" s="9"/>
      <c r="L33" s="9"/>
      <c r="M33" s="9" t="s">
        <v>161</v>
      </c>
      <c r="N33" s="9" t="str">
        <f aca="false">M33&amp;". "&amp;Style!$B$3&amp;" "&amp;Style!$B$7</f>
        <v>A young woman with a deep stab wound at the throat, dark blood clotted in her collarbone, lying on a cold stone morgue slab, a sheet pulled down to the chest, dead a week, bloated, marbled green veins under the skin, skin slipping at the edges. Dark hand-drawn coloured-pencil illustration on black-toned paper. Visible pencil strokes and dense cross-hatching, waxy layered colour, soft grain of the paper showing through. Gothic 1819 Paris anatomical horror, Mary Shelley mood. Even darker than daylight allows: the body emerges from deep black, lit hard from one side by a single lantern. Visceral and unflinching: decaying flesh built up in waxy layers of grey-green, livid purple, jaundiced yellow and clotted oxblood; raw wounds, torn stitches, split skin, exposed bone and sinew where the body is broken; flies and grave dirt where it fits. Rendered with the cold precision of an anatomist's study, not cartoon splatter. No blue anywhere: these bodies have no spark of life. Hand-made imperfections, no digital gloss. Format: 2:3 portrait, the body seen from above as it lies, head and upper torso, centred, lower 20% dark and simple.</v>
      </c>
      <c r="O33" s="9" t="str">
        <f aca="false">Style!$B$5</f>
        <v>text, letters, words, captions, logos, watermark, signature, card frame, border, UI, photorealistic, 3D render, CGI, glossy, airbrushed, smooth digital painting, anime, cartoon, comic-book gore, paint-splatter blood, bright saturated red, daylight, white background, modern clothing, modern objects, blue light, living expression, open smiling eyes</v>
      </c>
      <c r="P33" s="9" t="s">
        <v>64</v>
      </c>
      <c r="Q33" s="9" t="s">
        <v>162</v>
      </c>
    </row>
    <row r="34" customFormat="false" ht="124.6" hidden="false" customHeight="false" outlineLevel="0" collapsed="false">
      <c r="A34" s="9" t="s">
        <v>163</v>
      </c>
      <c r="B34" s="9" t="s">
        <v>154</v>
      </c>
      <c r="C34" s="9" t="s">
        <v>90</v>
      </c>
      <c r="D34" s="9" t="n">
        <v>3</v>
      </c>
      <c r="E34" s="9" t="n">
        <v>2</v>
      </c>
      <c r="F34" s="9" t="n">
        <v>0</v>
      </c>
      <c r="G34" s="9" t="n">
        <v>2</v>
      </c>
      <c r="H34" s="9" t="n">
        <f aca="false">SUM(D34:G34)</f>
        <v>7</v>
      </c>
      <c r="I34" s="9" t="n">
        <v>1</v>
      </c>
      <c r="J34" s="9" t="n">
        <v>0</v>
      </c>
      <c r="K34" s="9"/>
      <c r="L34" s="9"/>
      <c r="M34" s="9" t="s">
        <v>164</v>
      </c>
      <c r="N34" s="9" t="str">
        <f aca="false">M34&amp;". "&amp;Style!$B$3&amp;" "&amp;Style!$B$7</f>
        <v>A woman with her lower face torn and bloody from a fall, teeth broken, lying on a cold stone morgue slab, a sheet pulled down to the chest, dead a week, bloated, marbled green veins under the skin, skin slipping at the edges. Dark hand-drawn coloured-pencil illustration on black-toned paper. Visible pencil strokes and dense cross-hatching, waxy layered colour, soft grain of the paper showing through. Gothic 1819 Paris anatomical horror, Mary Shelley mood. Even darker than daylight allows: the body emerges from deep black, lit hard from one side by a single lantern. Visceral and unflinching: decaying flesh built up in waxy layers of grey-green, livid purple, jaundiced yellow and clotted oxblood; raw wounds, torn stitches, split skin, exposed bone and sinew where the body is broken; flies and grave dirt where it fits. Rendered with the cold precision of an anatomist's study, not cartoon splatter. No blue anywhere: these bodies have no spark of life. Hand-made imperfections, no digital gloss. Format: 2:3 portrait, the body seen from above as it lies, head and upper torso, centred, lower 20% dark and simple.</v>
      </c>
      <c r="O34" s="9" t="str">
        <f aca="false">Style!$B$5</f>
        <v>text, letters, words, captions, logos, watermark, signature, card frame, border, UI, photorealistic, 3D render, CGI, glossy, airbrushed, smooth digital painting, anime, cartoon, comic-book gore, paint-splatter blood, bright saturated red, daylight, white background, modern clothing, modern objects, blue light, living expression, open smiling eyes</v>
      </c>
      <c r="P34" s="9" t="s">
        <v>64</v>
      </c>
      <c r="Q34" s="9" t="s">
        <v>165</v>
      </c>
    </row>
    <row r="35" customFormat="false" ht="124.6" hidden="false" customHeight="false" outlineLevel="0" collapsed="false">
      <c r="A35" s="9" t="s">
        <v>166</v>
      </c>
      <c r="B35" s="9" t="s">
        <v>154</v>
      </c>
      <c r="C35" s="9" t="s">
        <v>90</v>
      </c>
      <c r="D35" s="9" t="n">
        <v>2</v>
      </c>
      <c r="E35" s="9" t="n">
        <v>2</v>
      </c>
      <c r="F35" s="9" t="n">
        <v>0</v>
      </c>
      <c r="G35" s="9" t="n">
        <v>3</v>
      </c>
      <c r="H35" s="9" t="n">
        <f aca="false">SUM(D35:G35)</f>
        <v>7</v>
      </c>
      <c r="I35" s="9" t="n">
        <v>1</v>
      </c>
      <c r="J35" s="9" t="n">
        <v>0</v>
      </c>
      <c r="K35" s="9"/>
      <c r="L35" s="9"/>
      <c r="M35" s="9" t="s">
        <v>167</v>
      </c>
      <c r="N35" s="9" t="str">
        <f aca="false">M35&amp;". "&amp;Style!$B$3&amp;" "&amp;Style!$B$7</f>
        <v>A broad-shouldered man with knife wounds across his shoulder, flesh flayed back, lying on a cold stone morgue slab, a sheet pulled down to the chest, dead a week, bloated, marbled green veins under the skin, skin slipping at the edges. Dark hand-drawn coloured-pencil illustration on black-toned paper. Visible pencil strokes and dense cross-hatching, waxy layered colour, soft grain of the paper showing through. Gothic 1819 Paris anatomical horror, Mary Shelley mood. Even darker than daylight allows: the body emerges from deep black, lit hard from one side by a single lantern. Visceral and unflinching: decaying flesh built up in waxy layers of grey-green, livid purple, jaundiced yellow and clotted oxblood; raw wounds, torn stitches, split skin, exposed bone and sinew where the body is broken; flies and grave dirt where it fits. Rendered with the cold precision of an anatomist's study, not cartoon splatter. No blue anywhere: these bodies have no spark of life. Hand-made imperfections, no digital gloss. Format: 2:3 portrait, the body seen from above as it lies, head and upper torso, centred, lower 20% dark and simple.</v>
      </c>
      <c r="O35" s="9" t="str">
        <f aca="false">Style!$B$5</f>
        <v>text, letters, words, captions, logos, watermark, signature, card frame, border, UI, photorealistic, 3D render, CGI, glossy, airbrushed, smooth digital painting, anime, cartoon, comic-book gore, paint-splatter blood, bright saturated red, daylight, white background, modern clothing, modern objects, blue light, living expression, open smiling eyes</v>
      </c>
      <c r="P35" s="9" t="s">
        <v>64</v>
      </c>
      <c r="Q35" s="9" t="s">
        <v>168</v>
      </c>
    </row>
    <row r="36" customFormat="false" ht="124.6" hidden="false" customHeight="false" outlineLevel="0" collapsed="false">
      <c r="A36" s="9" t="s">
        <v>169</v>
      </c>
      <c r="B36" s="9" t="s">
        <v>154</v>
      </c>
      <c r="C36" s="9" t="s">
        <v>90</v>
      </c>
      <c r="D36" s="9" t="n">
        <v>2</v>
      </c>
      <c r="E36" s="9" t="n">
        <v>1</v>
      </c>
      <c r="F36" s="9" t="n">
        <v>0</v>
      </c>
      <c r="G36" s="9" t="n">
        <v>2</v>
      </c>
      <c r="H36" s="9" t="n">
        <f aca="false">SUM(D36:G36)</f>
        <v>5</v>
      </c>
      <c r="I36" s="9" t="n">
        <v>1</v>
      </c>
      <c r="J36" s="9" t="n">
        <v>0</v>
      </c>
      <c r="K36" s="9"/>
      <c r="L36" s="9"/>
      <c r="M36" s="9" t="s">
        <v>170</v>
      </c>
      <c r="N36" s="9" t="str">
        <f aca="false">M36&amp;". "&amp;Style!$B$3&amp;" "&amp;Style!$B$7</f>
        <v>A middle-aged woman pulled from the river after a week, bloated and green-veined, lying on a cold stone morgue slab, a sheet pulled down to the chest, dead a week, bloated, marbled green veins under the skin, skin slipping at the edges. Dark hand-drawn coloured-pencil illustration on black-toned paper. Visible pencil strokes and dense cross-hatching, waxy layered colour, soft grain of the paper showing through. Gothic 1819 Paris anatomical horror, Mary Shelley mood. Even darker than daylight allows: the body emerges from deep black, lit hard from one side by a single lantern. Visceral and unflinching: decaying flesh built up in waxy layers of grey-green, livid purple, jaundiced yellow and clotted oxblood; raw wounds, torn stitches, split skin, exposed bone and sinew where the body is broken; flies and grave dirt where it fits. Rendered with the cold precision of an anatomist's study, not cartoon splatter. No blue anywhere: these bodies have no spark of life. Hand-made imperfections, no digital gloss. Format: 2:3 portrait, the body seen from above as it lies, head and upper torso, centred, lower 20% dark and simple.</v>
      </c>
      <c r="O36" s="9" t="str">
        <f aca="false">Style!$B$5</f>
        <v>text, letters, words, captions, logos, watermark, signature, card frame, border, UI, photorealistic, 3D render, CGI, glossy, airbrushed, smooth digital painting, anime, cartoon, comic-book gore, paint-splatter blood, bright saturated red, daylight, white background, modern clothing, modern objects, blue light, living expression, open smiling eyes</v>
      </c>
      <c r="P36" s="9" t="s">
        <v>64</v>
      </c>
      <c r="Q36" s="9" t="s">
        <v>171</v>
      </c>
    </row>
    <row r="37" customFormat="false" ht="124.6" hidden="false" customHeight="false" outlineLevel="0" collapsed="false">
      <c r="A37" s="9" t="s">
        <v>172</v>
      </c>
      <c r="B37" s="9" t="s">
        <v>154</v>
      </c>
      <c r="C37" s="9" t="s">
        <v>90</v>
      </c>
      <c r="D37" s="9" t="n">
        <v>4</v>
      </c>
      <c r="E37" s="9" t="n">
        <v>2</v>
      </c>
      <c r="F37" s="9" t="n">
        <v>0</v>
      </c>
      <c r="G37" s="9" t="n">
        <v>3</v>
      </c>
      <c r="H37" s="9" t="n">
        <f aca="false">SUM(D37:G37)</f>
        <v>9</v>
      </c>
      <c r="I37" s="9" t="n">
        <v>1</v>
      </c>
      <c r="J37" s="9" t="n">
        <v>0</v>
      </c>
      <c r="K37" s="9"/>
      <c r="L37" s="9"/>
      <c r="M37" s="9" t="s">
        <v>173</v>
      </c>
      <c r="N37" s="9" t="str">
        <f aca="false">M37&amp;". "&amp;Style!$B$3&amp;" "&amp;Style!$B$7</f>
        <v>An old labourer with a crushed skull, matted hair, a dent above the ear, lying on a cold stone morgue slab, a sheet pulled down to the chest, dead a week, bloated, marbled green veins under the skin, skin slipping at the edges. Dark hand-drawn coloured-pencil illustration on black-toned paper. Visible pencil strokes and dense cross-hatching, waxy layered colour, soft grain of the paper showing through. Gothic 1819 Paris anatomical horror, Mary Shelley mood. Even darker than daylight allows: the body emerges from deep black, lit hard from one side by a single lantern. Visceral and unflinching: decaying flesh built up in waxy layers of grey-green, livid purple, jaundiced yellow and clotted oxblood; raw wounds, torn stitches, split skin, exposed bone and sinew where the body is broken; flies and grave dirt where it fits. Rendered with the cold precision of an anatomist's study, not cartoon splatter. No blue anywhere: these bodies have no spark of life. Hand-made imperfections, no digital gloss. Format: 2:3 portrait, the body seen from above as it lies, head and upper torso, centred, lower 20% dark and simple.</v>
      </c>
      <c r="O37" s="9" t="str">
        <f aca="false">Style!$B$5</f>
        <v>text, letters, words, captions, logos, watermark, signature, card frame, border, UI, photorealistic, 3D render, CGI, glossy, airbrushed, smooth digital painting, anime, cartoon, comic-book gore, paint-splatter blood, bright saturated red, daylight, white background, modern clothing, modern objects, blue light, living expression, open smiling eyes</v>
      </c>
      <c r="P37" s="9" t="s">
        <v>64</v>
      </c>
      <c r="Q37" s="9" t="s">
        <v>174</v>
      </c>
    </row>
    <row r="38" customFormat="false" ht="124.6" hidden="false" customHeight="false" outlineLevel="0" collapsed="false">
      <c r="A38" s="9" t="s">
        <v>175</v>
      </c>
      <c r="B38" s="9" t="s">
        <v>154</v>
      </c>
      <c r="C38" s="9" t="s">
        <v>90</v>
      </c>
      <c r="D38" s="9" t="n">
        <v>3</v>
      </c>
      <c r="E38" s="9" t="n">
        <v>1</v>
      </c>
      <c r="F38" s="9" t="n">
        <v>0</v>
      </c>
      <c r="G38" s="9" t="n">
        <v>4</v>
      </c>
      <c r="H38" s="9" t="n">
        <f aca="false">SUM(D38:G38)</f>
        <v>8</v>
      </c>
      <c r="I38" s="9" t="n">
        <v>1</v>
      </c>
      <c r="J38" s="9" t="n">
        <v>0</v>
      </c>
      <c r="K38" s="9"/>
      <c r="L38" s="9"/>
      <c r="M38" s="9" t="s">
        <v>176</v>
      </c>
      <c r="N38" s="9" t="str">
        <f aca="false">M38&amp;". "&amp;Style!$B$3&amp;" "&amp;Style!$B$7</f>
        <v>A pale young girl of twenty with a slashed neck, black hair fanned on the slab, lying on a cold stone morgue slab, a sheet pulled down to the chest, dead a week, bloated, marbled green veins under the skin, skin slipping at the edges. Dark hand-drawn coloured-pencil illustration on black-toned paper. Visible pencil strokes and dense cross-hatching, waxy layered colour, soft grain of the paper showing through. Gothic 1819 Paris anatomical horror, Mary Shelley mood. Even darker than daylight allows: the body emerges from deep black, lit hard from one side by a single lantern. Visceral and unflinching: decaying flesh built up in waxy layers of grey-green, livid purple, jaundiced yellow and clotted oxblood; raw wounds, torn stitches, split skin, exposed bone and sinew where the body is broken; flies and grave dirt where it fits. Rendered with the cold precision of an anatomist's study, not cartoon splatter. No blue anywhere: these bodies have no spark of life. Hand-made imperfections, no digital gloss. Format: 2:3 portrait, the body seen from above as it lies, head and upper torso, centred, lower 20% dark and simple.</v>
      </c>
      <c r="O38" s="9" t="str">
        <f aca="false">Style!$B$5</f>
        <v>text, letters, words, captions, logos, watermark, signature, card frame, border, UI, photorealistic, 3D render, CGI, glossy, airbrushed, smooth digital painting, anime, cartoon, comic-book gore, paint-splatter blood, bright saturated red, daylight, white background, modern clothing, modern objects, blue light, living expression, open smiling eyes</v>
      </c>
      <c r="P38" s="9" t="s">
        <v>64</v>
      </c>
      <c r="Q38" s="9" t="s">
        <v>177</v>
      </c>
    </row>
    <row r="39" customFormat="false" ht="124.6" hidden="false" customHeight="false" outlineLevel="0" collapsed="false">
      <c r="A39" s="9" t="s">
        <v>178</v>
      </c>
      <c r="B39" s="9" t="s">
        <v>154</v>
      </c>
      <c r="C39" s="9" t="s">
        <v>110</v>
      </c>
      <c r="D39" s="9" t="n">
        <v>2</v>
      </c>
      <c r="E39" s="9" t="n">
        <v>4</v>
      </c>
      <c r="F39" s="9" t="n">
        <v>2</v>
      </c>
      <c r="G39" s="9" t="n">
        <v>2</v>
      </c>
      <c r="H39" s="9" t="n">
        <f aca="false">SUM(D39:G39)</f>
        <v>10</v>
      </c>
      <c r="I39" s="9" t="n">
        <v>1</v>
      </c>
      <c r="J39" s="9" t="n">
        <v>1</v>
      </c>
      <c r="K39" s="9"/>
      <c r="L39" s="9"/>
      <c r="M39" s="9" t="s">
        <v>179</v>
      </c>
      <c r="N39" s="9" t="str">
        <f aca="false">M39&amp;". "&amp;Style!$B$3&amp;" "&amp;Style!$B$7</f>
        <v>A young rake with a duelling wound in his chest, shirt torn open, bruising spreading, lying on a cold stone morgue slab, a sheet pulled down to the chest, dead a day or two, lividity pooling purple, lips greying. Dark hand-drawn coloured-pencil illustration on black-toned paper. Visible pencil strokes and dense cross-hatching, waxy layered colour, soft grain of the paper showing through. Gothic 1819 Paris anatomical horror, Mary Shelley mood. Even darker than daylight allows: the body emerges from deep black, lit hard from one side by a single lantern. Visceral and unflinching: decaying flesh built up in waxy layers of grey-green, livid purple, jaundiced yellow and clotted oxblood; raw wounds, torn stitches, split skin, exposed bone and sinew where the body is broken; flies and grave dirt where it fits. Rendered with the cold precision of an anatomist's study, not cartoon splatter. No blue anywhere: these bodies have no spark of life. Hand-made imperfections, no digital gloss. Format: 2:3 portrait, the body seen from above as it lies, head and upper torso, centred, lower 20% dark and simple.</v>
      </c>
      <c r="O39" s="9" t="str">
        <f aca="false">Style!$B$5</f>
        <v>text, letters, words, captions, logos, watermark, signature, card frame, border, UI, photorealistic, 3D render, CGI, glossy, airbrushed, smooth digital painting, anime, cartoon, comic-book gore, paint-splatter blood, bright saturated red, daylight, white background, modern clothing, modern objects, blue light, living expression, open smiling eyes</v>
      </c>
      <c r="P39" s="9" t="s">
        <v>64</v>
      </c>
      <c r="Q39" s="9" t="s">
        <v>180</v>
      </c>
    </row>
    <row r="40" customFormat="false" ht="113.4" hidden="false" customHeight="false" outlineLevel="0" collapsed="false">
      <c r="A40" s="9" t="s">
        <v>181</v>
      </c>
      <c r="B40" s="9" t="s">
        <v>154</v>
      </c>
      <c r="C40" s="9" t="s">
        <v>110</v>
      </c>
      <c r="D40" s="9" t="n">
        <v>2</v>
      </c>
      <c r="E40" s="9" t="n">
        <v>3</v>
      </c>
      <c r="F40" s="9" t="n">
        <v>1</v>
      </c>
      <c r="G40" s="9" t="n">
        <v>2</v>
      </c>
      <c r="H40" s="9" t="n">
        <f aca="false">SUM(D40:G40)</f>
        <v>8</v>
      </c>
      <c r="I40" s="9" t="n">
        <v>1</v>
      </c>
      <c r="J40" s="9" t="n">
        <v>1</v>
      </c>
      <c r="K40" s="9"/>
      <c r="L40" s="9"/>
      <c r="M40" s="9" t="s">
        <v>182</v>
      </c>
      <c r="N40" s="9" t="str">
        <f aca="false">M40&amp;". "&amp;Style!$B$3&amp;" "&amp;Style!$B$7</f>
        <v>A woman frozen in the street, lips black, frost still in her lashes, lying on a cold stone morgue slab, a sheet pulled down to the chest, dead a day or two, lividity pooling purple, lips greying. Dark hand-drawn coloured-pencil illustration on black-toned paper. Visible pencil strokes and dense cross-hatching, waxy layered colour, soft grain of the paper showing through. Gothic 1819 Paris anatomical horror, Mary Shelley mood. Even darker than daylight allows: the body emerges from deep black, lit hard from one side by a single lantern. Visceral and unflinching: decaying flesh built up in waxy layers of grey-green, livid purple, jaundiced yellow and clotted oxblood; raw wounds, torn stitches, split skin, exposed bone and sinew where the body is broken; flies and grave dirt where it fits. Rendered with the cold precision of an anatomist's study, not cartoon splatter. No blue anywhere: these bodies have no spark of life. Hand-made imperfections, no digital gloss. Format: 2:3 portrait, the body seen from above as it lies, head and upper torso, centred, lower 20% dark and simple.</v>
      </c>
      <c r="O40" s="9" t="str">
        <f aca="false">Style!$B$5</f>
        <v>text, letters, words, captions, logos, watermark, signature, card frame, border, UI, photorealistic, 3D render, CGI, glossy, airbrushed, smooth digital painting, anime, cartoon, comic-book gore, paint-splatter blood, bright saturated red, daylight, white background, modern clothing, modern objects, blue light, living expression, open smiling eyes</v>
      </c>
      <c r="P40" s="9" t="s">
        <v>64</v>
      </c>
      <c r="Q40" s="9" t="s">
        <v>183</v>
      </c>
    </row>
    <row r="41" customFormat="false" ht="113.4" hidden="false" customHeight="false" outlineLevel="0" collapsed="false">
      <c r="A41" s="9" t="s">
        <v>184</v>
      </c>
      <c r="B41" s="9" t="s">
        <v>154</v>
      </c>
      <c r="C41" s="9" t="s">
        <v>110</v>
      </c>
      <c r="D41" s="9" t="n">
        <v>2</v>
      </c>
      <c r="E41" s="9" t="n">
        <v>3</v>
      </c>
      <c r="F41" s="9" t="n">
        <v>1</v>
      </c>
      <c r="G41" s="9" t="n">
        <v>3</v>
      </c>
      <c r="H41" s="9" t="n">
        <f aca="false">SUM(D41:G41)</f>
        <v>9</v>
      </c>
      <c r="I41" s="9" t="n">
        <v>1</v>
      </c>
      <c r="J41" s="9" t="n">
        <v>1</v>
      </c>
      <c r="K41" s="9"/>
      <c r="L41" s="9"/>
      <c r="M41" s="9" t="s">
        <v>185</v>
      </c>
      <c r="N41" s="9" t="str">
        <f aca="false">M41&amp;". "&amp;Style!$B$3&amp;" "&amp;Style!$B$7</f>
        <v>An old man found in a cellar, face half-eaten by rats, lying on a cold stone morgue slab, a sheet pulled down to the chest, dead a day or two, lividity pooling purple, lips greying. Dark hand-drawn coloured-pencil illustration on black-toned paper. Visible pencil strokes and dense cross-hatching, waxy layered colour, soft grain of the paper showing through. Gothic 1819 Paris anatomical horror, Mary Shelley mood. Even darker than daylight allows: the body emerges from deep black, lit hard from one side by a single lantern. Visceral and unflinching: decaying flesh built up in waxy layers of grey-green, livid purple, jaundiced yellow and clotted oxblood; raw wounds, torn stitches, split skin, exposed bone and sinew where the body is broken; flies and grave dirt where it fits. Rendered with the cold precision of an anatomist's study, not cartoon splatter. No blue anywhere: these bodies have no spark of life. Hand-made imperfections, no digital gloss. Format: 2:3 portrait, the body seen from above as it lies, head and upper torso, centred, lower 20% dark and simple.</v>
      </c>
      <c r="O41" s="9" t="str">
        <f aca="false">Style!$B$5</f>
        <v>text, letters, words, captions, logos, watermark, signature, card frame, border, UI, photorealistic, 3D render, CGI, glossy, airbrushed, smooth digital painting, anime, cartoon, comic-book gore, paint-splatter blood, bright saturated red, daylight, white background, modern clothing, modern objects, blue light, living expression, open smiling eyes</v>
      </c>
      <c r="P41" s="9" t="s">
        <v>64</v>
      </c>
      <c r="Q41" s="9" t="s">
        <v>186</v>
      </c>
    </row>
    <row r="42" customFormat="false" ht="113.4" hidden="false" customHeight="false" outlineLevel="0" collapsed="false">
      <c r="A42" s="9" t="s">
        <v>187</v>
      </c>
      <c r="B42" s="9" t="s">
        <v>154</v>
      </c>
      <c r="C42" s="9" t="s">
        <v>110</v>
      </c>
      <c r="D42" s="9" t="n">
        <v>3</v>
      </c>
      <c r="E42" s="9" t="n">
        <v>2</v>
      </c>
      <c r="F42" s="9" t="n">
        <v>1</v>
      </c>
      <c r="G42" s="9" t="n">
        <v>3</v>
      </c>
      <c r="H42" s="9" t="n">
        <f aca="false">SUM(D42:G42)</f>
        <v>9</v>
      </c>
      <c r="I42" s="9" t="n">
        <v>1</v>
      </c>
      <c r="J42" s="9" t="n">
        <v>1</v>
      </c>
      <c r="K42" s="9"/>
      <c r="L42" s="9"/>
      <c r="M42" s="9" t="s">
        <v>188</v>
      </c>
      <c r="N42" s="9" t="str">
        <f aca="false">M42&amp;". "&amp;Style!$B$3&amp;" "&amp;Style!$B$7</f>
        <v>A young woman with a garrotte mark cutting deep into her neck, lying on a cold stone morgue slab, a sheet pulled down to the chest, dead a day or two, lividity pooling purple, lips greying. Dark hand-drawn coloured-pencil illustration on black-toned paper. Visible pencil strokes and dense cross-hatching, waxy layered colour, soft grain of the paper showing through. Gothic 1819 Paris anatomical horror, Mary Shelley mood. Even darker than daylight allows: the body emerges from deep black, lit hard from one side by a single lantern. Visceral and unflinching: decaying flesh built up in waxy layers of grey-green, livid purple, jaundiced yellow and clotted oxblood; raw wounds, torn stitches, split skin, exposed bone and sinew where the body is broken; flies and grave dirt where it fits. Rendered with the cold precision of an anatomist's study, not cartoon splatter. No blue anywhere: these bodies have no spark of life. Hand-made imperfections, no digital gloss. Format: 2:3 portrait, the body seen from above as it lies, head and upper torso, centred, lower 20% dark and simple.</v>
      </c>
      <c r="O42" s="9" t="str">
        <f aca="false">Style!$B$5</f>
        <v>text, letters, words, captions, logos, watermark, signature, card frame, border, UI, photorealistic, 3D render, CGI, glossy, airbrushed, smooth digital painting, anime, cartoon, comic-book gore, paint-splatter blood, bright saturated red, daylight, white background, modern clothing, modern objects, blue light, living expression, open smiling eyes</v>
      </c>
      <c r="P42" s="9" t="s">
        <v>64</v>
      </c>
      <c r="Q42" s="9" t="s">
        <v>189</v>
      </c>
    </row>
    <row r="43" customFormat="false" ht="124.6" hidden="false" customHeight="false" outlineLevel="0" collapsed="false">
      <c r="A43" s="9" t="s">
        <v>190</v>
      </c>
      <c r="B43" s="9" t="s">
        <v>154</v>
      </c>
      <c r="C43" s="9" t="s">
        <v>110</v>
      </c>
      <c r="D43" s="9" t="n">
        <v>2</v>
      </c>
      <c r="E43" s="9" t="n">
        <v>3</v>
      </c>
      <c r="F43" s="9" t="n">
        <v>1</v>
      </c>
      <c r="G43" s="9" t="n">
        <v>1</v>
      </c>
      <c r="H43" s="9" t="n">
        <f aca="false">SUM(D43:G43)</f>
        <v>7</v>
      </c>
      <c r="I43" s="9" t="n">
        <v>1</v>
      </c>
      <c r="J43" s="9" t="n">
        <v>0</v>
      </c>
      <c r="K43" s="9"/>
      <c r="L43" s="9"/>
      <c r="M43" s="9" t="s">
        <v>191</v>
      </c>
      <c r="N43" s="9" t="str">
        <f aca="false">M43&amp;". "&amp;Style!$B$3&amp;" "&amp;Style!$B$7</f>
        <v>A drowned student, face swollen tight, a wound at the temple from the bridge pillar, lying on a cold stone morgue slab, a sheet pulled down to the chest, dead a day or two, lividity pooling purple, lips greying. Dark hand-drawn coloured-pencil illustration on black-toned paper. Visible pencil strokes and dense cross-hatching, waxy layered colour, soft grain of the paper showing through. Gothic 1819 Paris anatomical horror, Mary Shelley mood. Even darker than daylight allows: the body emerges from deep black, lit hard from one side by a single lantern. Visceral and unflinching: decaying flesh built up in waxy layers of grey-green, livid purple, jaundiced yellow and clotted oxblood; raw wounds, torn stitches, split skin, exposed bone and sinew where the body is broken; flies and grave dirt where it fits. Rendered with the cold precision of an anatomist's study, not cartoon splatter. No blue anywhere: these bodies have no spark of life. Hand-made imperfections, no digital gloss. Format: 2:3 portrait, the body seen from above as it lies, head and upper torso, centred, lower 20% dark and simple.</v>
      </c>
      <c r="O43" s="9" t="str">
        <f aca="false">Style!$B$5</f>
        <v>text, letters, words, captions, logos, watermark, signature, card frame, border, UI, photorealistic, 3D render, CGI, glossy, airbrushed, smooth digital painting, anime, cartoon, comic-book gore, paint-splatter blood, bright saturated red, daylight, white background, modern clothing, modern objects, blue light, living expression, open smiling eyes</v>
      </c>
      <c r="P43" s="9" t="s">
        <v>64</v>
      </c>
      <c r="Q43" s="9" t="s">
        <v>192</v>
      </c>
    </row>
    <row r="44" customFormat="false" ht="124.6" hidden="false" customHeight="false" outlineLevel="0" collapsed="false">
      <c r="A44" s="9" t="s">
        <v>193</v>
      </c>
      <c r="B44" s="9" t="s">
        <v>154</v>
      </c>
      <c r="C44" s="9" t="s">
        <v>110</v>
      </c>
      <c r="D44" s="9" t="n">
        <v>4</v>
      </c>
      <c r="E44" s="9" t="n">
        <v>3</v>
      </c>
      <c r="F44" s="9" t="n">
        <v>2</v>
      </c>
      <c r="G44" s="9" t="n">
        <v>2</v>
      </c>
      <c r="H44" s="9" t="n">
        <f aca="false">SUM(D44:G44)</f>
        <v>11</v>
      </c>
      <c r="I44" s="9" t="n">
        <v>1</v>
      </c>
      <c r="J44" s="9" t="n">
        <v>1</v>
      </c>
      <c r="K44" s="9"/>
      <c r="L44" s="9"/>
      <c r="M44" s="9" t="s">
        <v>194</v>
      </c>
      <c r="N44" s="9" t="str">
        <f aca="false">M44&amp;". "&amp;Style!$B$3&amp;" "&amp;Style!$B$7</f>
        <v>A burly carter crushed under his own wagon, chest caved in, a broken arm folded wrong, lying on a cold stone morgue slab, a sheet pulled down to the chest, dead a day or two, lividity pooling purple, lips greying. Dark hand-drawn coloured-pencil illustration on black-toned paper. Visible pencil strokes and dense cross-hatching, waxy layered colour, soft grain of the paper showing through. Gothic 1819 Paris anatomical horror, Mary Shelley mood. Even darker than daylight allows: the body emerges from deep black, lit hard from one side by a single lantern. Visceral and unflinching: decaying flesh built up in waxy layers of grey-green, livid purple, jaundiced yellow and clotted oxblood; raw wounds, torn stitches, split skin, exposed bone and sinew where the body is broken; flies and grave dirt where it fits. Rendered with the cold precision of an anatomist's study, not cartoon splatter. No blue anywhere: these bodies have no spark of life. Hand-made imperfections, no digital gloss. Format: 2:3 portrait, the body seen from above as it lies, head and upper torso, centred, lower 20% dark and simple.</v>
      </c>
      <c r="O44" s="9" t="str">
        <f aca="false">Style!$B$5</f>
        <v>text, letters, words, captions, logos, watermark, signature, card frame, border, UI, photorealistic, 3D render, CGI, glossy, airbrushed, smooth digital painting, anime, cartoon, comic-book gore, paint-splatter blood, bright saturated red, daylight, white background, modern clothing, modern objects, blue light, living expression, open smiling eyes</v>
      </c>
      <c r="P44" s="9" t="s">
        <v>64</v>
      </c>
      <c r="Q44" s="9" t="s">
        <v>195</v>
      </c>
    </row>
    <row r="45" customFormat="false" ht="124.6" hidden="false" customHeight="false" outlineLevel="0" collapsed="false">
      <c r="A45" s="9" t="s">
        <v>196</v>
      </c>
      <c r="B45" s="9" t="s">
        <v>197</v>
      </c>
      <c r="C45" s="9" t="s">
        <v>123</v>
      </c>
      <c r="D45" s="9" t="n">
        <v>4</v>
      </c>
      <c r="E45" s="9" t="n">
        <v>3</v>
      </c>
      <c r="F45" s="9" t="n">
        <v>2</v>
      </c>
      <c r="G45" s="9" t="n">
        <v>4</v>
      </c>
      <c r="H45" s="9" t="n">
        <f aca="false">SUM(D45:G45)</f>
        <v>13</v>
      </c>
      <c r="I45" s="9" t="n">
        <v>2</v>
      </c>
      <c r="J45" s="9" t="n">
        <v>0</v>
      </c>
      <c r="K45" s="9"/>
      <c r="L45" s="9"/>
      <c r="M45" s="9" t="s">
        <v>198</v>
      </c>
      <c r="N45" s="9" t="str">
        <f aca="false">M45&amp;". "&amp;Style!$B$3&amp;" "&amp;Style!$B$7</f>
        <v>An executed highwayman, the guillotine cut clean through his neck, head laid back against the stump, dumped on wet cobblestones beside the scaffold, straw soaked dark, freshly dead, skin still waxy-pale, blood barely dry. Dark hand-drawn coloured-pencil illustration on black-toned paper. Visible pencil strokes and dense cross-hatching, waxy layered colour, soft grain of the paper showing through. Gothic 1819 Paris anatomical horror, Mary Shelley mood. Even darker than daylight allows: the body emerges from deep black, lit hard from one side by a single lantern. Visceral and unflinching: decaying flesh built up in waxy layers of grey-green, livid purple, jaundiced yellow and clotted oxblood; raw wounds, torn stitches, split skin, exposed bone and sinew where the body is broken; flies and grave dirt where it fits. Rendered with the cold precision of an anatomist's study, not cartoon splatter. No blue anywhere: these bodies have no spark of life. Hand-made imperfections, no digital gloss. Format: 2:3 portrait, the body seen from above as it lies, head and upper torso, centred, lower 20% dark and simple.</v>
      </c>
      <c r="O45" s="9" t="str">
        <f aca="false">Style!$B$5</f>
        <v>text, letters, words, captions, logos, watermark, signature, card frame, border, UI, photorealistic, 3D render, CGI, glossy, airbrushed, smooth digital painting, anime, cartoon, comic-book gore, paint-splatter blood, bright saturated red, daylight, white background, modern clothing, modern objects, blue light, living expression, open smiling eyes</v>
      </c>
      <c r="P45" s="9" t="s">
        <v>64</v>
      </c>
      <c r="Q45" s="9" t="s">
        <v>199</v>
      </c>
    </row>
    <row r="46" customFormat="false" ht="124.6" hidden="false" customHeight="false" outlineLevel="0" collapsed="false">
      <c r="A46" s="9" t="s">
        <v>200</v>
      </c>
      <c r="B46" s="9" t="s">
        <v>197</v>
      </c>
      <c r="C46" s="9" t="s">
        <v>123</v>
      </c>
      <c r="D46" s="9" t="n">
        <v>3</v>
      </c>
      <c r="E46" s="9" t="n">
        <v>3</v>
      </c>
      <c r="F46" s="9" t="n">
        <v>3</v>
      </c>
      <c r="G46" s="9" t="n">
        <v>4</v>
      </c>
      <c r="H46" s="9" t="n">
        <f aca="false">SUM(D46:G46)</f>
        <v>13</v>
      </c>
      <c r="I46" s="9" t="n">
        <v>2</v>
      </c>
      <c r="J46" s="9" t="n">
        <v>0</v>
      </c>
      <c r="K46" s="9"/>
      <c r="L46" s="9"/>
      <c r="M46" s="9" t="s">
        <v>201</v>
      </c>
      <c r="N46" s="9" t="str">
        <f aca="false">M46&amp;". "&amp;Style!$B$3&amp;" "&amp;Style!$B$7</f>
        <v>An executed young woman forger, dark hair cropped for the blade, blood pooling under the neck, dumped on wet cobblestones beside the scaffold, straw soaked dark, freshly dead, skin still waxy-pale, blood barely dry. Dark hand-drawn coloured-pencil illustration on black-toned paper. Visible pencil strokes and dense cross-hatching, waxy layered colour, soft grain of the paper showing through. Gothic 1819 Paris anatomical horror, Mary Shelley mood. Even darker than daylight allows: the body emerges from deep black, lit hard from one side by a single lantern. Visceral and unflinching: decaying flesh built up in waxy layers of grey-green, livid purple, jaundiced yellow and clotted oxblood; raw wounds, torn stitches, split skin, exposed bone and sinew where the body is broken; flies and grave dirt where it fits. Rendered with the cold precision of an anatomist's study, not cartoon splatter. No blue anywhere: these bodies have no spark of life. Hand-made imperfections, no digital gloss. Format: 2:3 portrait, the body seen from above as it lies, head and upper torso, centred, lower 20% dark and simple.</v>
      </c>
      <c r="O46" s="9" t="str">
        <f aca="false">Style!$B$5</f>
        <v>text, letters, words, captions, logos, watermark, signature, card frame, border, UI, photorealistic, 3D render, CGI, glossy, airbrushed, smooth digital painting, anime, cartoon, comic-book gore, paint-splatter blood, bright saturated red, daylight, white background, modern clothing, modern objects, blue light, living expression, open smiling eyes</v>
      </c>
      <c r="P46" s="9" t="s">
        <v>64</v>
      </c>
      <c r="Q46" s="9" t="s">
        <v>202</v>
      </c>
    </row>
    <row r="47" customFormat="false" ht="113.4" hidden="false" customHeight="false" outlineLevel="0" collapsed="false">
      <c r="A47" s="9" t="s">
        <v>203</v>
      </c>
      <c r="B47" s="9" t="s">
        <v>197</v>
      </c>
      <c r="C47" s="9" t="s">
        <v>123</v>
      </c>
      <c r="D47" s="9" t="n">
        <v>2</v>
      </c>
      <c r="E47" s="9" t="n">
        <v>4</v>
      </c>
      <c r="F47" s="9" t="n">
        <v>3</v>
      </c>
      <c r="G47" s="9" t="n">
        <v>3</v>
      </c>
      <c r="H47" s="9" t="n">
        <f aca="false">SUM(D47:G47)</f>
        <v>12</v>
      </c>
      <c r="I47" s="9" t="n">
        <v>2</v>
      </c>
      <c r="J47" s="9" t="n">
        <v>0</v>
      </c>
      <c r="K47" s="9"/>
      <c r="L47" s="9"/>
      <c r="M47" s="9" t="s">
        <v>204</v>
      </c>
      <c r="N47" s="9" t="str">
        <f aca="false">M47&amp;". "&amp;Style!$B$3&amp;" "&amp;Style!$B$7</f>
        <v>An executed army deserter, neck severed, eyes half open, shirt collar cut away, dumped on wet cobblestones beside the scaffold, straw soaked dark, freshly dead, skin still waxy-pale, blood barely dry. Dark hand-drawn coloured-pencil illustration on black-toned paper. Visible pencil strokes and dense cross-hatching, waxy layered colour, soft grain of the paper showing through. Gothic 1819 Paris anatomical horror, Mary Shelley mood. Even darker than daylight allows: the body emerges from deep black, lit hard from one side by a single lantern. Visceral and unflinching: decaying flesh built up in waxy layers of grey-green, livid purple, jaundiced yellow and clotted oxblood; raw wounds, torn stitches, split skin, exposed bone and sinew where the body is broken; flies and grave dirt where it fits. Rendered with the cold precision of an anatomist's study, not cartoon splatter. No blue anywhere: these bodies have no spark of life. Hand-made imperfections, no digital gloss. Format: 2:3 portrait, the body seen from above as it lies, head and upper torso, centred, lower 20% dark and simple.</v>
      </c>
      <c r="O47" s="9" t="str">
        <f aca="false">Style!$B$5</f>
        <v>text, letters, words, captions, logos, watermark, signature, card frame, border, UI, photorealistic, 3D render, CGI, glossy, airbrushed, smooth digital painting, anime, cartoon, comic-book gore, paint-splatter blood, bright saturated red, daylight, white background, modern clothing, modern objects, blue light, living expression, open smiling eyes</v>
      </c>
      <c r="P47" s="9" t="s">
        <v>64</v>
      </c>
      <c r="Q47" s="9" t="s">
        <v>205</v>
      </c>
    </row>
    <row r="48" customFormat="false" ht="113.4" hidden="false" customHeight="false" outlineLevel="0" collapsed="false">
      <c r="A48" s="9" t="s">
        <v>206</v>
      </c>
      <c r="B48" s="9" t="s">
        <v>197</v>
      </c>
      <c r="C48" s="9" t="s">
        <v>123</v>
      </c>
      <c r="D48" s="9" t="n">
        <v>2</v>
      </c>
      <c r="E48" s="9" t="n">
        <v>4</v>
      </c>
      <c r="F48" s="9" t="n">
        <v>2</v>
      </c>
      <c r="G48" s="9" t="n">
        <v>3</v>
      </c>
      <c r="H48" s="9" t="n">
        <f aca="false">SUM(D48:G48)</f>
        <v>11</v>
      </c>
      <c r="I48" s="9" t="n">
        <v>2</v>
      </c>
      <c r="J48" s="9" t="n">
        <v>0</v>
      </c>
      <c r="K48" s="9"/>
      <c r="L48" s="9"/>
      <c r="M48" s="9" t="s">
        <v>207</v>
      </c>
      <c r="N48" s="9" t="str">
        <f aca="false">M48&amp;". "&amp;Style!$B$3&amp;" "&amp;Style!$B$7</f>
        <v>An executed poisoner, grey hair hacked short, a crust of blood along the cut, dumped on wet cobblestones beside the scaffold, straw soaked dark, freshly dead, skin still waxy-pale, blood barely dry. Dark hand-drawn coloured-pencil illustration on black-toned paper. Visible pencil strokes and dense cross-hatching, waxy layered colour, soft grain of the paper showing through. Gothic 1819 Paris anatomical horror, Mary Shelley mood. Even darker than daylight allows: the body emerges from deep black, lit hard from one side by a single lantern. Visceral and unflinching: decaying flesh built up in waxy layers of grey-green, livid purple, jaundiced yellow and clotted oxblood; raw wounds, torn stitches, split skin, exposed bone and sinew where the body is broken; flies and grave dirt where it fits. Rendered with the cold precision of an anatomist's study, not cartoon splatter. No blue anywhere: these bodies have no spark of life. Hand-made imperfections, no digital gloss. Format: 2:3 portrait, the body seen from above as it lies, head and upper torso, centred, lower 20% dark and simple.</v>
      </c>
      <c r="O48" s="9" t="str">
        <f aca="false">Style!$B$5</f>
        <v>text, letters, words, captions, logos, watermark, signature, card frame, border, UI, photorealistic, 3D render, CGI, glossy, airbrushed, smooth digital painting, anime, cartoon, comic-book gore, paint-splatter blood, bright saturated red, daylight, white background, modern clothing, modern objects, blue light, living expression, open smiling eyes</v>
      </c>
      <c r="P48" s="9" t="s">
        <v>64</v>
      </c>
      <c r="Q48" s="9" t="s">
        <v>208</v>
      </c>
    </row>
    <row r="49" customFormat="false" ht="124.6" hidden="false" customHeight="false" outlineLevel="0" collapsed="false">
      <c r="A49" s="9" t="s">
        <v>209</v>
      </c>
      <c r="B49" s="9" t="s">
        <v>197</v>
      </c>
      <c r="C49" s="9" t="s">
        <v>123</v>
      </c>
      <c r="D49" s="9" t="n">
        <v>2</v>
      </c>
      <c r="E49" s="9" t="n">
        <v>3</v>
      </c>
      <c r="F49" s="9" t="n">
        <v>2</v>
      </c>
      <c r="G49" s="9" t="n">
        <v>3</v>
      </c>
      <c r="H49" s="9" t="n">
        <f aca="false">SUM(D49:G49)</f>
        <v>10</v>
      </c>
      <c r="I49" s="9" t="n">
        <v>2</v>
      </c>
      <c r="J49" s="9" t="n">
        <v>0</v>
      </c>
      <c r="K49" s="9"/>
      <c r="L49" s="9"/>
      <c r="M49" s="9" t="s">
        <v>210</v>
      </c>
      <c r="N49" s="9" t="str">
        <f aca="false">M49&amp;". "&amp;Style!$B$3&amp;" "&amp;Style!$B$7</f>
        <v>An executed counterfeiter, heavy jaw slack, the clean red ring of the blade at his neck, dumped on wet cobblestones beside the scaffold, straw soaked dark, freshly dead, skin still waxy-pale, blood barely dry. Dark hand-drawn coloured-pencil illustration on black-toned paper. Visible pencil strokes and dense cross-hatching, waxy layered colour, soft grain of the paper showing through. Gothic 1819 Paris anatomical horror, Mary Shelley mood. Even darker than daylight allows: the body emerges from deep black, lit hard from one side by a single lantern. Visceral and unflinching: decaying flesh built up in waxy layers of grey-green, livid purple, jaundiced yellow and clotted oxblood; raw wounds, torn stitches, split skin, exposed bone and sinew where the body is broken; flies and grave dirt where it fits. Rendered with the cold precision of an anatomist's study, not cartoon splatter. No blue anywhere: these bodies have no spark of life. Hand-made imperfections, no digital gloss. Format: 2:3 portrait, the body seen from above as it lies, head and upper torso, centred, lower 20% dark and simple.</v>
      </c>
      <c r="O49" s="9" t="str">
        <f aca="false">Style!$B$5</f>
        <v>text, letters, words, captions, logos, watermark, signature, card frame, border, UI, photorealistic, 3D render, CGI, glossy, airbrushed, smooth digital painting, anime, cartoon, comic-book gore, paint-splatter blood, bright saturated red, daylight, white background, modern clothing, modern objects, blue light, living expression, open smiling eyes</v>
      </c>
      <c r="P49" s="9" t="s">
        <v>64</v>
      </c>
      <c r="Q49" s="9" t="s">
        <v>211</v>
      </c>
    </row>
    <row r="50" customFormat="false" ht="113.4" hidden="false" customHeight="false" outlineLevel="0" collapsed="false">
      <c r="A50" s="9" t="s">
        <v>212</v>
      </c>
      <c r="B50" s="9" t="s">
        <v>197</v>
      </c>
      <c r="C50" s="9" t="s">
        <v>123</v>
      </c>
      <c r="D50" s="9" t="n">
        <v>3</v>
      </c>
      <c r="E50" s="9" t="n">
        <v>2</v>
      </c>
      <c r="F50" s="9" t="n">
        <v>2</v>
      </c>
      <c r="G50" s="9" t="n">
        <v>3</v>
      </c>
      <c r="H50" s="9" t="n">
        <f aca="false">SUM(D50:G50)</f>
        <v>10</v>
      </c>
      <c r="I50" s="9" t="n">
        <v>2</v>
      </c>
      <c r="J50" s="9" t="n">
        <v>0</v>
      </c>
      <c r="K50" s="9"/>
      <c r="L50" s="9"/>
      <c r="M50" s="9" t="s">
        <v>213</v>
      </c>
      <c r="N50" s="9" t="str">
        <f aca="false">M50&amp;". "&amp;Style!$B$3&amp;" "&amp;Style!$B$7</f>
        <v>An executed arsonist, soot still on his face, neck wound raw and wet, dumped on wet cobblestones beside the scaffold, straw soaked dark, freshly dead, skin still waxy-pale, blood barely dry. Dark hand-drawn coloured-pencil illustration on black-toned paper. Visible pencil strokes and dense cross-hatching, waxy layered colour, soft grain of the paper showing through. Gothic 1819 Paris anatomical horror, Mary Shelley mood. Even darker than daylight allows: the body emerges from deep black, lit hard from one side by a single lantern. Visceral and unflinching: decaying flesh built up in waxy layers of grey-green, livid purple, jaundiced yellow and clotted oxblood; raw wounds, torn stitches, split skin, exposed bone and sinew where the body is broken; flies and grave dirt where it fits. Rendered with the cold precision of an anatomist's study, not cartoon splatter. No blue anywhere: these bodies have no spark of life. Hand-made imperfections, no digital gloss. Format: 2:3 portrait, the body seen from above as it lies, head and upper torso, centred, lower 20% dark and simple.</v>
      </c>
      <c r="O50" s="9" t="str">
        <f aca="false">Style!$B$5</f>
        <v>text, letters, words, captions, logos, watermark, signature, card frame, border, UI, photorealistic, 3D render, CGI, glossy, airbrushed, smooth digital painting, anime, cartoon, comic-book gore, paint-splatter blood, bright saturated red, daylight, white background, modern clothing, modern objects, blue light, living expression, open smiling eyes</v>
      </c>
      <c r="P50" s="9" t="s">
        <v>64</v>
      </c>
      <c r="Q50" s="9" t="s">
        <v>214</v>
      </c>
    </row>
    <row r="51" customFormat="false" ht="124.6" hidden="false" customHeight="false" outlineLevel="0" collapsed="false">
      <c r="A51" s="9" t="s">
        <v>215</v>
      </c>
      <c r="B51" s="9" t="s">
        <v>197</v>
      </c>
      <c r="C51" s="9" t="s">
        <v>123</v>
      </c>
      <c r="D51" s="9" t="n">
        <v>4</v>
      </c>
      <c r="E51" s="9" t="n">
        <v>2</v>
      </c>
      <c r="F51" s="9" t="n">
        <v>1</v>
      </c>
      <c r="G51" s="9" t="n">
        <v>2</v>
      </c>
      <c r="H51" s="9" t="n">
        <f aca="false">SUM(D51:G51)</f>
        <v>9</v>
      </c>
      <c r="I51" s="9" t="n">
        <v>2</v>
      </c>
      <c r="J51" s="9" t="n">
        <v>0</v>
      </c>
      <c r="K51" s="9"/>
      <c r="L51" s="9"/>
      <c r="M51" s="9" t="s">
        <v>216</v>
      </c>
      <c r="N51" s="9" t="str">
        <f aca="false">M51&amp;". "&amp;Style!$B$3&amp;" "&amp;Style!$B$7</f>
        <v>An executed woman murderer, hair shorn, collar torn open, blood on the cobbles beneath, dumped on wet cobblestones beside the scaffold, straw soaked dark, freshly dead, skin still waxy-pale, blood barely dry. Dark hand-drawn coloured-pencil illustration on black-toned paper. Visible pencil strokes and dense cross-hatching, waxy layered colour, soft grain of the paper showing through. Gothic 1819 Paris anatomical horror, Mary Shelley mood. Even darker than daylight allows: the body emerges from deep black, lit hard from one side by a single lantern. Visceral and unflinching: decaying flesh built up in waxy layers of grey-green, livid purple, jaundiced yellow and clotted oxblood; raw wounds, torn stitches, split skin, exposed bone and sinew where the body is broken; flies and grave dirt where it fits. Rendered with the cold precision of an anatomist's study, not cartoon splatter. No blue anywhere: these bodies have no spark of life. Hand-made imperfections, no digital gloss. Format: 2:3 portrait, the body seen from above as it lies, head and upper torso, centred, lower 20% dark and simple.</v>
      </c>
      <c r="O51" s="9" t="str">
        <f aca="false">Style!$B$5</f>
        <v>text, letters, words, captions, logos, watermark, signature, card frame, border, UI, photorealistic, 3D render, CGI, glossy, airbrushed, smooth digital painting, anime, cartoon, comic-book gore, paint-splatter blood, bright saturated red, daylight, white background, modern clothing, modern objects, blue light, living expression, open smiling eyes</v>
      </c>
      <c r="P51" s="9" t="s">
        <v>64</v>
      </c>
      <c r="Q51" s="9" t="s">
        <v>217</v>
      </c>
    </row>
    <row r="52" customFormat="false" ht="124.6" hidden="false" customHeight="false" outlineLevel="0" collapsed="false">
      <c r="A52" s="9" t="s">
        <v>218</v>
      </c>
      <c r="B52" s="9" t="s">
        <v>197</v>
      </c>
      <c r="C52" s="9" t="s">
        <v>123</v>
      </c>
      <c r="D52" s="9" t="n">
        <v>4</v>
      </c>
      <c r="E52" s="9" t="n">
        <v>4</v>
      </c>
      <c r="F52" s="9" t="n">
        <v>3</v>
      </c>
      <c r="G52" s="9" t="n">
        <v>3</v>
      </c>
      <c r="H52" s="9" t="n">
        <f aca="false">SUM(D52:G52)</f>
        <v>14</v>
      </c>
      <c r="I52" s="9" t="n">
        <v>2</v>
      </c>
      <c r="J52" s="9" t="n">
        <v>0</v>
      </c>
      <c r="K52" s="9"/>
      <c r="L52" s="9"/>
      <c r="M52" s="9" t="s">
        <v>219</v>
      </c>
      <c r="N52" s="9" t="str">
        <f aca="false">M52&amp;". "&amp;Style!$B$3&amp;" "&amp;Style!$B$7</f>
        <v>An executed robber with a broken nose, bruises from the crowd, neck stump dark, dumped on wet cobblestones beside the scaffold, straw soaked dark, freshly dead, skin still waxy-pale, blood barely dry. Dark hand-drawn coloured-pencil illustration on black-toned paper. Visible pencil strokes and dense cross-hatching, waxy layered colour, soft grain of the paper showing through. Gothic 1819 Paris anatomical horror, Mary Shelley mood. Even darker than daylight allows: the body emerges from deep black, lit hard from one side by a single lantern. Visceral and unflinching: decaying flesh built up in waxy layers of grey-green, livid purple, jaundiced yellow and clotted oxblood; raw wounds, torn stitches, split skin, exposed bone and sinew where the body is broken; flies and grave dirt where it fits. Rendered with the cold precision of an anatomist's study, not cartoon splatter. No blue anywhere: these bodies have no spark of life. Hand-made imperfections, no digital gloss. Format: 2:3 portrait, the body seen from above as it lies, head and upper torso, centred, lower 20% dark and simple.</v>
      </c>
      <c r="O52" s="9" t="str">
        <f aca="false">Style!$B$5</f>
        <v>text, letters, words, captions, logos, watermark, signature, card frame, border, UI, photorealistic, 3D render, CGI, glossy, airbrushed, smooth digital painting, anime, cartoon, comic-book gore, paint-splatter blood, bright saturated red, daylight, white background, modern clothing, modern objects, blue light, living expression, open smiling eyes</v>
      </c>
      <c r="P52" s="9" t="s">
        <v>64</v>
      </c>
      <c r="Q52" s="9" t="s">
        <v>220</v>
      </c>
    </row>
    <row r="53" customFormat="false" ht="113.4" hidden="false" customHeight="false" outlineLevel="0" collapsed="false">
      <c r="A53" s="9" t="s">
        <v>221</v>
      </c>
      <c r="B53" s="9" t="s">
        <v>197</v>
      </c>
      <c r="C53" s="9" t="s">
        <v>123</v>
      </c>
      <c r="D53" s="9" t="n">
        <v>4</v>
      </c>
      <c r="E53" s="9" t="n">
        <v>4</v>
      </c>
      <c r="F53" s="9" t="n">
        <v>3</v>
      </c>
      <c r="G53" s="9" t="n">
        <v>2</v>
      </c>
      <c r="H53" s="9" t="n">
        <f aca="false">SUM(D53:G53)</f>
        <v>13</v>
      </c>
      <c r="I53" s="9" t="n">
        <v>2</v>
      </c>
      <c r="J53" s="9" t="n">
        <v>0</v>
      </c>
      <c r="K53" s="9"/>
      <c r="L53" s="9"/>
      <c r="M53" s="9" t="s">
        <v>222</v>
      </c>
      <c r="N53" s="9" t="str">
        <f aca="false">M53&amp;". "&amp;Style!$B$3&amp;" "&amp;Style!$B$7</f>
        <v>An executed street thief, very young, the cut neck glistening in the lantern light, dumped on wet cobblestones beside the scaffold, straw soaked dark, freshly dead, skin still waxy-pale, blood barely dry. Dark hand-drawn coloured-pencil illustration on black-toned paper. Visible pencil strokes and dense cross-hatching, waxy layered colour, soft grain of the paper showing through. Gothic 1819 Paris anatomical horror, Mary Shelley mood. Even darker than daylight allows: the body emerges from deep black, lit hard from one side by a single lantern. Visceral and unflinching: decaying flesh built up in waxy layers of grey-green, livid purple, jaundiced yellow and clotted oxblood; raw wounds, torn stitches, split skin, exposed bone and sinew where the body is broken; flies and grave dirt where it fits. Rendered with the cold precision of an anatomist's study, not cartoon splatter. No blue anywhere: these bodies have no spark of life. Hand-made imperfections, no digital gloss. Format: 2:3 portrait, the body seen from above as it lies, head and upper torso, centred, lower 20% dark and simple.</v>
      </c>
      <c r="O53" s="9" t="str">
        <f aca="false">Style!$B$5</f>
        <v>text, letters, words, captions, logos, watermark, signature, card frame, border, UI, photorealistic, 3D render, CGI, glossy, airbrushed, smooth digital painting, anime, cartoon, comic-book gore, paint-splatter blood, bright saturated red, daylight, white background, modern clothing, modern objects, blue light, living expression, open smiling eyes</v>
      </c>
      <c r="P53" s="9" t="s">
        <v>64</v>
      </c>
      <c r="Q53" s="9" t="s">
        <v>223</v>
      </c>
    </row>
    <row r="54" customFormat="false" ht="124.6" hidden="false" customHeight="false" outlineLevel="0" collapsed="false">
      <c r="A54" s="9" t="s">
        <v>224</v>
      </c>
      <c r="B54" s="9" t="s">
        <v>197</v>
      </c>
      <c r="C54" s="9" t="s">
        <v>123</v>
      </c>
      <c r="D54" s="9" t="n">
        <v>4</v>
      </c>
      <c r="E54" s="9" t="n">
        <v>4</v>
      </c>
      <c r="F54" s="9" t="n">
        <v>4</v>
      </c>
      <c r="G54" s="9" t="n">
        <v>4</v>
      </c>
      <c r="H54" s="9" t="n">
        <f aca="false">SUM(D54:G54)</f>
        <v>16</v>
      </c>
      <c r="I54" s="9" t="n">
        <v>3</v>
      </c>
      <c r="J54" s="9" t="n">
        <v>0</v>
      </c>
      <c r="K54" s="9" t="n">
        <v>1</v>
      </c>
      <c r="L54" s="9" t="s">
        <v>225</v>
      </c>
      <c r="M54" s="9" t="s">
        <v>226</v>
      </c>
      <c r="N54" s="9" t="str">
        <f aca="false">M54&amp;". "&amp;Style!$B$3&amp;" "&amp;Style!$B$7</f>
        <v>Big Gustave the butcher of Rungis, executed, an enormous man with a vast slack face, the blade wound across a thick neck, dumped on wet cobblestones beside the scaffold, straw soaked dark, freshly dead, skin still waxy-pale, blood barely dry. Dark hand-drawn coloured-pencil illustration on black-toned paper. Visible pencil strokes and dense cross-hatching, waxy layered colour, soft grain of the paper showing through. Gothic 1819 Paris anatomical horror, Mary Shelley mood. Even darker than daylight allows: the body emerges from deep black, lit hard from one side by a single lantern. Visceral and unflinching: decaying flesh built up in waxy layers of grey-green, livid purple, jaundiced yellow and clotted oxblood; raw wounds, torn stitches, split skin, exposed bone and sinew where the body is broken; flies and grave dirt where it fits. Rendered with the cold precision of an anatomist's study, not cartoon splatter. No blue anywhere: these bodies have no spark of life. Hand-made imperfections, no digital gloss. Format: 2:3 portrait, the body seen from above as it lies, head and upper torso, centred, lower 20% dark and simple.</v>
      </c>
      <c r="O54" s="9" t="str">
        <f aca="false">Style!$B$5</f>
        <v>text, letters, words, captions, logos, watermark, signature, card frame, border, UI, photorealistic, 3D render, CGI, glossy, airbrushed, smooth digital painting, anime, cartoon, comic-book gore, paint-splatter blood, bright saturated red, daylight, white background, modern clothing, modern objects, blue light, living expression, open smiling eyes</v>
      </c>
      <c r="P54" s="9" t="s">
        <v>64</v>
      </c>
      <c r="Q54" s="9" t="s">
        <v>227</v>
      </c>
    </row>
  </sheetData>
  <autoFilter ref="A2:Q5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20"/>
    <col collapsed="false" customWidth="true" hidden="false" outlineLevel="0" max="3" min="3" style="0" width="9"/>
    <col collapsed="false" customWidth="true" hidden="false" outlineLevel="0" max="4" min="4" style="0" width="10"/>
    <col collapsed="false" customWidth="true" hidden="false" outlineLevel="0" max="5" min="5" style="0" width="46"/>
    <col collapsed="false" customWidth="true" hidden="false" outlineLevel="0" max="6" min="6" style="0" width="20"/>
    <col collapsed="false" customWidth="true" hidden="false" outlineLevel="0" max="7" min="7" style="0" width="12"/>
    <col collapsed="false" customWidth="true" hidden="false" outlineLevel="0" max="8" min="8" style="0" width="50"/>
    <col collapsed="false" customWidth="true" hidden="false" outlineLevel="0" max="9" min="9" style="0" width="90"/>
    <col collapsed="false" customWidth="true" hidden="false" outlineLevel="0" max="10" min="10" style="0" width="40"/>
    <col collapsed="false" customWidth="true" hidden="false" outlineLevel="0" max="11" min="11" style="0" width="8"/>
    <col collapsed="false" customWidth="true" hidden="false" outlineLevel="0" max="12" min="12" style="0" width="18"/>
  </cols>
  <sheetData>
    <row r="1" customFormat="false" ht="15" hidden="false" customHeight="false" outlineLevel="0" collapsed="false">
      <c r="A1" s="2" t="s">
        <v>1</v>
      </c>
    </row>
    <row r="2" customFormat="false" ht="23.85" hidden="false" customHeight="false" outlineLevel="0" collapsed="false">
      <c r="A2" s="8" t="s">
        <v>44</v>
      </c>
      <c r="B2" s="8" t="s">
        <v>228</v>
      </c>
      <c r="C2" s="8" t="s">
        <v>229</v>
      </c>
      <c r="D2" s="8" t="s">
        <v>52</v>
      </c>
      <c r="E2" s="8" t="s">
        <v>230</v>
      </c>
      <c r="F2" s="8" t="s">
        <v>51</v>
      </c>
      <c r="G2" s="8" t="s">
        <v>231</v>
      </c>
      <c r="H2" s="8" t="s">
        <v>55</v>
      </c>
      <c r="I2" s="8" t="s">
        <v>56</v>
      </c>
      <c r="J2" s="8" t="s">
        <v>57</v>
      </c>
      <c r="K2" s="8" t="s">
        <v>58</v>
      </c>
      <c r="L2" s="8" t="s">
        <v>59</v>
      </c>
    </row>
    <row r="3" customFormat="false" ht="102.2" hidden="false" customHeight="false" outlineLevel="0" collapsed="false">
      <c r="A3" s="9" t="s">
        <v>232</v>
      </c>
      <c r="B3" s="9" t="s">
        <v>233</v>
      </c>
      <c r="C3" s="9" t="n">
        <v>2</v>
      </c>
      <c r="D3" s="9" t="n">
        <v>1</v>
      </c>
      <c r="E3" s="9" t="s">
        <v>234</v>
      </c>
      <c r="F3" s="9"/>
      <c r="G3" s="9"/>
      <c r="H3" s="9" t="s">
        <v>235</v>
      </c>
      <c r="I3" s="9" t="str">
        <f aca="false">H3&amp;". "&amp;Style!$B$2&amp;" "&amp;Style!$B$6</f>
        <v>A hulking hospital porter with a black beard carrying a sheet-wrapped corpse over his shoulder. Dark hand-drawn coloured-pencil illustration on black-toned paper. Visible pencil strokes and cross-hatching, waxy layered colour, soft grain of the paper showing through. Gothic 1819 Paris, Mary Shelley mood. Low-key candlelit lighting: a single warm light source (candle, lantern or lamp) carving figures out of near-black shadow. Muted palette of soot black, bruised plum, oxblood red, tarnished brass and bone white, with one small accent of cold galvanic blue where electricity or life appears. Subtle vignette fading to black at the edges. Melancholic, unsettling, quietly beautiful rather than gory: wounds and death are suggested with restraint, never graphic. Hand-made imperfections, no digital gloss. Format: 2:3 portrait, head and shoulders, centred, lower 20% dark and simple.</v>
      </c>
      <c r="J3" s="9" t="str">
        <f aca="false">Style!$B$4</f>
        <v>text, letters, words, captions, logos, watermark, signature, card frame, border, UI, photorealistic, 3D render, CGI, glossy, airbrushed, smooth digital painting, anime, cartoon, chibi, bright saturated colours, daylight, white background, gore, exposed organs in detail, modern clothing, modern objects</v>
      </c>
      <c r="K3" s="9" t="s">
        <v>64</v>
      </c>
      <c r="L3" s="9" t="s">
        <v>236</v>
      </c>
    </row>
    <row r="4" customFormat="false" ht="91" hidden="false" customHeight="false" outlineLevel="0" collapsed="false">
      <c r="A4" s="9" t="s">
        <v>237</v>
      </c>
      <c r="B4" s="9" t="s">
        <v>233</v>
      </c>
      <c r="C4" s="9" t="n">
        <v>2</v>
      </c>
      <c r="D4" s="9" t="n">
        <v>1</v>
      </c>
      <c r="E4" s="9" t="s">
        <v>234</v>
      </c>
      <c r="F4" s="9"/>
      <c r="G4" s="9"/>
      <c r="H4" s="9" t="s">
        <v>238</v>
      </c>
      <c r="I4" s="9" t="str">
        <f aca="false">H4&amp;". "&amp;Style!$B$2&amp;" "&amp;Style!$B$6</f>
        <v>A hard-faced nurse in a stained apron and cap, a covered trolley behind her. Dark hand-drawn coloured-pencil illustration on black-toned paper. Visible pencil strokes and cross-hatching, waxy layered colour, soft grain of the paper showing through. Gothic 1819 Paris, Mary Shelley mood. Low-key candlelit lighting: a single warm light source (candle, lantern or lamp) carving figures out of near-black shadow. Muted palette of soot black, bruised plum, oxblood red, tarnished brass and bone white, with one small accent of cold galvanic blue where electricity or life appears. Subtle vignette fading to black at the edges. Melancholic, unsettling, quietly beautiful rather than gory: wounds and death are suggested with restraint, never graphic. Hand-made imperfections, no digital gloss. Format: 2:3 portrait, head and shoulders, centred, lower 20% dark and simple.</v>
      </c>
      <c r="J4" s="9" t="str">
        <f aca="false">Style!$B$4</f>
        <v>text, letters, words, captions, logos, watermark, signature, card frame, border, UI, photorealistic, 3D render, CGI, glossy, airbrushed, smooth digital painting, anime, cartoon, chibi, bright saturated colours, daylight, white background, gore, exposed organs in detail, modern clothing, modern objects</v>
      </c>
      <c r="K4" s="9" t="s">
        <v>64</v>
      </c>
      <c r="L4" s="9" t="s">
        <v>239</v>
      </c>
    </row>
    <row r="5" customFormat="false" ht="91" hidden="false" customHeight="false" outlineLevel="0" collapsed="false">
      <c r="A5" s="9" t="s">
        <v>240</v>
      </c>
      <c r="B5" s="9" t="s">
        <v>233</v>
      </c>
      <c r="C5" s="9" t="n">
        <v>1</v>
      </c>
      <c r="D5" s="9" t="n">
        <v>1</v>
      </c>
      <c r="E5" s="9" t="s">
        <v>241</v>
      </c>
      <c r="F5" s="9"/>
      <c r="G5" s="9"/>
      <c r="H5" s="9" t="s">
        <v>242</v>
      </c>
      <c r="I5" s="9" t="str">
        <f aca="false">H5&amp;". "&amp;Style!$B$2&amp;" "&amp;Style!$B$6</f>
        <v>A sly hospital orderly with a ring of keys, a sheet-covered trolley behind him. Dark hand-drawn coloured-pencil illustration on black-toned paper. Visible pencil strokes and cross-hatching, waxy layered colour, soft grain of the paper showing through. Gothic 1819 Paris, Mary Shelley mood. Low-key candlelit lighting: a single warm light source (candle, lantern or lamp) carving figures out of near-black shadow. Muted palette of soot black, bruised plum, oxblood red, tarnished brass and bone white, with one small accent of cold galvanic blue where electricity or life appears. Subtle vignette fading to black at the edges. Melancholic, unsettling, quietly beautiful rather than gory: wounds and death are suggested with restraint, never graphic. Hand-made imperfections, no digital gloss. Format: 2:3 portrait, head and shoulders, centred, lower 20% dark and simple.</v>
      </c>
      <c r="J5" s="9" t="str">
        <f aca="false">Style!$B$4</f>
        <v>text, letters, words, captions, logos, watermark, signature, card frame, border, UI, photorealistic, 3D render, CGI, glossy, airbrushed, smooth digital painting, anime, cartoon, chibi, bright saturated colours, daylight, white background, gore, exposed organs in detail, modern clothing, modern objects</v>
      </c>
      <c r="K5" s="9" t="s">
        <v>64</v>
      </c>
      <c r="L5" s="9" t="s">
        <v>243</v>
      </c>
    </row>
    <row r="6" customFormat="false" ht="91" hidden="false" customHeight="false" outlineLevel="0" collapsed="false">
      <c r="A6" s="9" t="s">
        <v>244</v>
      </c>
      <c r="B6" s="9" t="s">
        <v>233</v>
      </c>
      <c r="C6" s="9" t="n">
        <v>1</v>
      </c>
      <c r="D6" s="9" t="n">
        <v>1</v>
      </c>
      <c r="E6" s="9" t="s">
        <v>241</v>
      </c>
      <c r="F6" s="9"/>
      <c r="G6" s="9"/>
      <c r="H6" s="9" t="s">
        <v>245</v>
      </c>
      <c r="I6" s="9" t="str">
        <f aca="false">H6&amp;". "&amp;Style!$B$2&amp;" "&amp;Style!$B$6</f>
        <v>A pale girl with bloody sleeves pushing a trolley under a dirty sheet. Dark hand-drawn coloured-pencil illustration on black-toned paper. Visible pencil strokes and cross-hatching, waxy layered colour, soft grain of the paper showing through. Gothic 1819 Paris, Mary Shelley mood. Low-key candlelit lighting: a single warm light source (candle, lantern or lamp) carving figures out of near-black shadow. Muted palette of soot black, bruised plum, oxblood red, tarnished brass and bone white, with one small accent of cold galvanic blue where electricity or life appears. Subtle vignette fading to black at the edges. Melancholic, unsettling, quietly beautiful rather than gory: wounds and death are suggested with restraint, never graphic. Hand-made imperfections, no digital gloss. Format: 2:3 portrait, head and shoulders, centred, lower 20% dark and simple.</v>
      </c>
      <c r="J6" s="9" t="str">
        <f aca="false">Style!$B$4</f>
        <v>text, letters, words, captions, logos, watermark, signature, card frame, border, UI, photorealistic, 3D render, CGI, glossy, airbrushed, smooth digital painting, anime, cartoon, chibi, bright saturated colours, daylight, white background, gore, exposed organs in detail, modern clothing, modern objects</v>
      </c>
      <c r="K6" s="9" t="s">
        <v>64</v>
      </c>
      <c r="L6" s="9" t="s">
        <v>246</v>
      </c>
    </row>
    <row r="7" customFormat="false" ht="102.2" hidden="false" customHeight="false" outlineLevel="0" collapsed="false">
      <c r="A7" s="9" t="s">
        <v>247</v>
      </c>
      <c r="B7" s="9" t="s">
        <v>248</v>
      </c>
      <c r="C7" s="9" t="n">
        <v>2</v>
      </c>
      <c r="D7" s="9" t="n">
        <v>1</v>
      </c>
      <c r="E7" s="9" t="s">
        <v>249</v>
      </c>
      <c r="F7" s="9" t="s">
        <v>250</v>
      </c>
      <c r="G7" s="9" t="s">
        <v>251</v>
      </c>
      <c r="H7" s="9" t="s">
        <v>252</v>
      </c>
      <c r="I7" s="9" t="str">
        <f aca="false">H7&amp;". "&amp;Style!$B$2&amp;" "&amp;Style!$B$6</f>
        <v>A dog catcher in a ragged hat and coat with a long net pole, a cage of strays behind. Dark hand-drawn coloured-pencil illustration on black-toned paper. Visible pencil strokes and cross-hatching, waxy layered colour, soft grain of the paper showing through. Gothic 1819 Paris, Mary Shelley mood. Low-key candlelit lighting: a single warm light source (candle, lantern or lamp) carving figures out of near-black shadow. Muted palette of soot black, bruised plum, oxblood red, tarnished brass and bone white, with one small accent of cold galvanic blue where electricity or life appears. Subtle vignette fading to black at the edges. Melancholic, unsettling, quietly beautiful rather than gory: wounds and death are suggested with restraint, never graphic. Hand-made imperfections, no digital gloss. Format: 2:3 portrait, head and shoulders, centred, lower 20% dark and simple.</v>
      </c>
      <c r="J7" s="9" t="str">
        <f aca="false">Style!$B$4</f>
        <v>text, letters, words, captions, logos, watermark, signature, card frame, border, UI, photorealistic, 3D render, CGI, glossy, airbrushed, smooth digital painting, anime, cartoon, chibi, bright saturated colours, daylight, white background, gore, exposed organs in detail, modern clothing, modern objects</v>
      </c>
      <c r="K7" s="9" t="s">
        <v>64</v>
      </c>
      <c r="L7" s="9" t="s">
        <v>253</v>
      </c>
    </row>
    <row r="8" customFormat="false" ht="91" hidden="false" customHeight="false" outlineLevel="0" collapsed="false">
      <c r="A8" s="9" t="s">
        <v>254</v>
      </c>
      <c r="B8" s="9" t="s">
        <v>248</v>
      </c>
      <c r="C8" s="9" t="n">
        <v>1</v>
      </c>
      <c r="D8" s="9"/>
      <c r="E8" s="9" t="s">
        <v>255</v>
      </c>
      <c r="F8" s="9" t="s">
        <v>256</v>
      </c>
      <c r="G8" s="9" t="s">
        <v>257</v>
      </c>
      <c r="H8" s="9" t="s">
        <v>258</v>
      </c>
      <c r="I8" s="9" t="str">
        <f aca="false">H8&amp;". "&amp;Style!$B$2&amp;" "&amp;Style!$B$6</f>
        <v>A heavy old dog catcher with a coil of rope and a muzzle pole, his cart behind him. Dark hand-drawn coloured-pencil illustration on black-toned paper. Visible pencil strokes and cross-hatching, waxy layered colour, soft grain of the paper showing through. Gothic 1819 Paris, Mary Shelley mood. Low-key candlelit lighting: a single warm light source (candle, lantern or lamp) carving figures out of near-black shadow. Muted palette of soot black, bruised plum, oxblood red, tarnished brass and bone white, with one small accent of cold galvanic blue where electricity or life appears. Subtle vignette fading to black at the edges. Melancholic, unsettling, quietly beautiful rather than gory: wounds and death are suggested with restraint, never graphic. Hand-made imperfections, no digital gloss. Format: 2:3 portrait, head and shoulders, centred, lower 20% dark and simple.</v>
      </c>
      <c r="J8" s="9" t="str">
        <f aca="false">Style!$B$4</f>
        <v>text, letters, words, captions, logos, watermark, signature, card frame, border, UI, photorealistic, 3D render, CGI, glossy, airbrushed, smooth digital painting, anime, cartoon, chibi, bright saturated colours, daylight, white background, gore, exposed organs in detail, modern clothing, modern objects</v>
      </c>
      <c r="K8" s="9" t="s">
        <v>64</v>
      </c>
      <c r="L8" s="9" t="s">
        <v>259</v>
      </c>
    </row>
    <row r="9" customFormat="false" ht="91" hidden="false" customHeight="false" outlineLevel="0" collapsed="false">
      <c r="A9" s="9" t="s">
        <v>260</v>
      </c>
      <c r="B9" s="9" t="s">
        <v>248</v>
      </c>
      <c r="C9" s="9" t="n">
        <v>1</v>
      </c>
      <c r="D9" s="9"/>
      <c r="E9" s="9" t="s">
        <v>261</v>
      </c>
      <c r="F9" s="9" t="s">
        <v>256</v>
      </c>
      <c r="G9" s="9" t="s">
        <v>257</v>
      </c>
      <c r="H9" s="9" t="s">
        <v>262</v>
      </c>
      <c r="I9" s="9" t="str">
        <f aca="false">H9&amp;". "&amp;Style!$B$2&amp;" "&amp;Style!$B$6</f>
        <v>A sharp-faced young woman with a black fringe holding a muzzle pole. Dark hand-drawn coloured-pencil illustration on black-toned paper. Visible pencil strokes and cross-hatching, waxy layered colour, soft grain of the paper showing through. Gothic 1819 Paris, Mary Shelley mood. Low-key candlelit lighting: a single warm light source (candle, lantern or lamp) carving figures out of near-black shadow. Muted palette of soot black, bruised plum, oxblood red, tarnished brass and bone white, with one small accent of cold galvanic blue where electricity or life appears. Subtle vignette fading to black at the edges. Melancholic, unsettling, quietly beautiful rather than gory: wounds and death are suggested with restraint, never graphic. Hand-made imperfections, no digital gloss. Format: 2:3 portrait, head and shoulders, centred, lower 20% dark and simple.</v>
      </c>
      <c r="J9" s="9" t="str">
        <f aca="false">Style!$B$4</f>
        <v>text, letters, words, captions, logos, watermark, signature, card frame, border, UI, photorealistic, 3D render, CGI, glossy, airbrushed, smooth digital painting, anime, cartoon, chibi, bright saturated colours, daylight, white background, gore, exposed organs in detail, modern clothing, modern objects</v>
      </c>
      <c r="K9" s="9" t="s">
        <v>64</v>
      </c>
      <c r="L9" s="9" t="s">
        <v>263</v>
      </c>
    </row>
    <row r="10" customFormat="false" ht="91" hidden="false" customHeight="false" outlineLevel="0" collapsed="false">
      <c r="A10" s="9" t="s">
        <v>264</v>
      </c>
      <c r="B10" s="9" t="s">
        <v>248</v>
      </c>
      <c r="C10" s="9" t="n">
        <v>1</v>
      </c>
      <c r="D10" s="9"/>
      <c r="E10" s="9" t="s">
        <v>261</v>
      </c>
      <c r="F10" s="9" t="s">
        <v>256</v>
      </c>
      <c r="G10" s="9" t="s">
        <v>257</v>
      </c>
      <c r="H10" s="9" t="s">
        <v>265</v>
      </c>
      <c r="I10" s="9" t="str">
        <f aca="false">H10&amp;". "&amp;Style!$B$2&amp;" "&amp;Style!$B$6</f>
        <v>A boy in a feathered hat and green coat with a snare noose. Dark hand-drawn coloured-pencil illustration on black-toned paper. Visible pencil strokes and cross-hatching, waxy layered colour, soft grain of the paper showing through. Gothic 1819 Paris, Mary Shelley mood. Low-key candlelit lighting: a single warm light source (candle, lantern or lamp) carving figures out of near-black shadow. Muted palette of soot black, bruised plum, oxblood red, tarnished brass and bone white, with one small accent of cold galvanic blue where electricity or life appears. Subtle vignette fading to black at the edges. Melancholic, unsettling, quietly beautiful rather than gory: wounds and death are suggested with restraint, never graphic. Hand-made imperfections, no digital gloss. Format: 2:3 portrait, head and shoulders, centred, lower 20% dark and simple.</v>
      </c>
      <c r="J10" s="9" t="str">
        <f aca="false">Style!$B$4</f>
        <v>text, letters, words, captions, logos, watermark, signature, card frame, border, UI, photorealistic, 3D render, CGI, glossy, airbrushed, smooth digital painting, anime, cartoon, chibi, bright saturated colours, daylight, white background, gore, exposed organs in detail, modern clothing, modern objects</v>
      </c>
      <c r="K10" s="9" t="s">
        <v>64</v>
      </c>
      <c r="L10" s="9" t="s">
        <v>266</v>
      </c>
    </row>
    <row r="11" customFormat="false" ht="91" hidden="false" customHeight="false" outlineLevel="0" collapsed="false">
      <c r="A11" s="9" t="s">
        <v>267</v>
      </c>
      <c r="B11" s="9" t="s">
        <v>268</v>
      </c>
      <c r="C11" s="9" t="n">
        <v>2</v>
      </c>
      <c r="D11" s="9" t="n">
        <v>1</v>
      </c>
      <c r="E11" s="9" t="s">
        <v>269</v>
      </c>
      <c r="F11" s="9" t="s">
        <v>270</v>
      </c>
      <c r="G11" s="9"/>
      <c r="H11" s="9" t="s">
        <v>271</v>
      </c>
      <c r="I11" s="9" t="str">
        <f aca="false">H11&amp;". "&amp;Style!$B$2&amp;" "&amp;Style!$B$6</f>
        <v>A smiling gentleman in a dark coat, a thin knife glinting in his gloved hand. Dark hand-drawn coloured-pencil illustration on black-toned paper. Visible pencil strokes and cross-hatching, waxy layered colour, soft grain of the paper showing through. Gothic 1819 Paris, Mary Shelley mood. Low-key candlelit lighting: a single warm light source (candle, lantern or lamp) carving figures out of near-black shadow. Muted palette of soot black, bruised plum, oxblood red, tarnished brass and bone white, with one small accent of cold galvanic blue where electricity or life appears. Subtle vignette fading to black at the edges. Melancholic, unsettling, quietly beautiful rather than gory: wounds and death are suggested with restraint, never graphic. Hand-made imperfections, no digital gloss. Format: 2:3 portrait, head and shoulders, centred, lower 20% dark and simple.</v>
      </c>
      <c r="J11" s="9" t="str">
        <f aca="false">Style!$B$4</f>
        <v>text, letters, words, captions, logos, watermark, signature, card frame, border, UI, photorealistic, 3D render, CGI, glossy, airbrushed, smooth digital painting, anime, cartoon, chibi, bright saturated colours, daylight, white background, gore, exposed organs in detail, modern clothing, modern objects</v>
      </c>
      <c r="K11" s="9" t="s">
        <v>64</v>
      </c>
      <c r="L11" s="9" t="s">
        <v>272</v>
      </c>
    </row>
    <row r="12" customFormat="false" ht="91" hidden="false" customHeight="false" outlineLevel="0" collapsed="false">
      <c r="A12" s="9" t="s">
        <v>273</v>
      </c>
      <c r="B12" s="9" t="s">
        <v>268</v>
      </c>
      <c r="C12" s="9" t="n">
        <v>1</v>
      </c>
      <c r="D12" s="9" t="n">
        <v>2</v>
      </c>
      <c r="E12" s="9" t="s">
        <v>274</v>
      </c>
      <c r="F12" s="9" t="s">
        <v>270</v>
      </c>
      <c r="G12" s="9"/>
      <c r="H12" s="9" t="s">
        <v>275</v>
      </c>
      <c r="I12" s="9" t="str">
        <f aca="false">H12&amp;". "&amp;Style!$B$2&amp;" "&amp;Style!$B$6</f>
        <v>A hooded woman in a burgundy cloak, blade hidden in the folds. Dark hand-drawn coloured-pencil illustration on black-toned paper. Visible pencil strokes and cross-hatching, waxy layered colour, soft grain of the paper showing through. Gothic 1819 Paris, Mary Shelley mood. Low-key candlelit lighting: a single warm light source (candle, lantern or lamp) carving figures out of near-black shadow. Muted palette of soot black, bruised plum, oxblood red, tarnished brass and bone white, with one small accent of cold galvanic blue where electricity or life appears. Subtle vignette fading to black at the edges. Melancholic, unsettling, quietly beautiful rather than gory: wounds and death are suggested with restraint, never graphic. Hand-made imperfections, no digital gloss. Format: 2:3 portrait, head and shoulders, centred, lower 20% dark and simple.</v>
      </c>
      <c r="J12" s="9" t="str">
        <f aca="false">Style!$B$4</f>
        <v>text, letters, words, captions, logos, watermark, signature, card frame, border, UI, photorealistic, 3D render, CGI, glossy, airbrushed, smooth digital painting, anime, cartoon, chibi, bright saturated colours, daylight, white background, gore, exposed organs in detail, modern clothing, modern objects</v>
      </c>
      <c r="K12" s="9" t="s">
        <v>64</v>
      </c>
      <c r="L12" s="9" t="s">
        <v>276</v>
      </c>
    </row>
    <row r="13" customFormat="false" ht="102.2" hidden="false" customHeight="false" outlineLevel="0" collapsed="false">
      <c r="A13" s="9" t="s">
        <v>277</v>
      </c>
      <c r="B13" s="9" t="s">
        <v>268</v>
      </c>
      <c r="C13" s="9" t="n">
        <v>1</v>
      </c>
      <c r="D13" s="9" t="n">
        <v>1</v>
      </c>
      <c r="E13" s="9" t="s">
        <v>278</v>
      </c>
      <c r="F13" s="9" t="s">
        <v>270</v>
      </c>
      <c r="G13" s="9"/>
      <c r="H13" s="9" t="s">
        <v>279</v>
      </c>
      <c r="I13" s="9" t="str">
        <f aca="false">H13&amp;". "&amp;Style!$B$2&amp;" "&amp;Style!$B$6</f>
        <v>A woman in a black cloak and red scarf in an alley doorway, a bloody cleaver at her side. Dark hand-drawn coloured-pencil illustration on black-toned paper. Visible pencil strokes and cross-hatching, waxy layered colour, soft grain of the paper showing through. Gothic 1819 Paris, Mary Shelley mood. Low-key candlelit lighting: a single warm light source (candle, lantern or lamp) carving figures out of near-black shadow. Muted palette of soot black, bruised plum, oxblood red, tarnished brass and bone white, with one small accent of cold galvanic blue where electricity or life appears. Subtle vignette fading to black at the edges. Melancholic, unsettling, quietly beautiful rather than gory: wounds and death are suggested with restraint, never graphic. Hand-made imperfections, no digital gloss. Format: 2:3 portrait, head and shoulders, centred, lower 20% dark and simple.</v>
      </c>
      <c r="J13" s="9" t="str">
        <f aca="false">Style!$B$4</f>
        <v>text, letters, words, captions, logos, watermark, signature, card frame, border, UI, photorealistic, 3D render, CGI, glossy, airbrushed, smooth digital painting, anime, cartoon, chibi, bright saturated colours, daylight, white background, gore, exposed organs in detail, modern clothing, modern objects</v>
      </c>
      <c r="K13" s="9" t="s">
        <v>64</v>
      </c>
      <c r="L13" s="9" t="s">
        <v>280</v>
      </c>
    </row>
    <row r="14" customFormat="false" ht="91" hidden="false" customHeight="false" outlineLevel="0" collapsed="false">
      <c r="A14" s="9" t="s">
        <v>281</v>
      </c>
      <c r="B14" s="9" t="s">
        <v>268</v>
      </c>
      <c r="C14" s="9" t="n">
        <v>1</v>
      </c>
      <c r="D14" s="9" t="n">
        <v>1</v>
      </c>
      <c r="E14" s="9" t="s">
        <v>282</v>
      </c>
      <c r="F14" s="9" t="s">
        <v>270</v>
      </c>
      <c r="G14" s="9"/>
      <c r="H14" s="9" t="s">
        <v>283</v>
      </c>
      <c r="I14" s="9" t="str">
        <f aca="false">H14&amp;". "&amp;Style!$B$2&amp;" "&amp;Style!$B$6</f>
        <v>A scarred knife-sharpener with a whetstone, rolled sleeves stained red. Dark hand-drawn coloured-pencil illustration on black-toned paper. Visible pencil strokes and cross-hatching, waxy layered colour, soft grain of the paper showing through. Gothic 1819 Paris, Mary Shelley mood. Low-key candlelit lighting: a single warm light source (candle, lantern or lamp) carving figures out of near-black shadow. Muted palette of soot black, bruised plum, oxblood red, tarnished brass and bone white, with one small accent of cold galvanic blue where electricity or life appears. Subtle vignette fading to black at the edges. Melancholic, unsettling, quietly beautiful rather than gory: wounds and death are suggested with restraint, never graphic. Hand-made imperfections, no digital gloss. Format: 2:3 portrait, head and shoulders, centred, lower 20% dark and simple.</v>
      </c>
      <c r="J14" s="9" t="str">
        <f aca="false">Style!$B$4</f>
        <v>text, letters, words, captions, logos, watermark, signature, card frame, border, UI, photorealistic, 3D render, CGI, glossy, airbrushed, smooth digital painting, anime, cartoon, chibi, bright saturated colours, daylight, white background, gore, exposed organs in detail, modern clothing, modern objects</v>
      </c>
      <c r="K14" s="9" t="s">
        <v>64</v>
      </c>
      <c r="L14" s="9" t="s">
        <v>284</v>
      </c>
    </row>
    <row r="15" customFormat="false" ht="91" hidden="false" customHeight="false" outlineLevel="0" collapsed="false">
      <c r="A15" s="9" t="s">
        <v>285</v>
      </c>
      <c r="B15" s="9" t="s">
        <v>286</v>
      </c>
      <c r="C15" s="9" t="n">
        <v>2</v>
      </c>
      <c r="D15" s="9"/>
      <c r="E15" s="9" t="s">
        <v>287</v>
      </c>
      <c r="F15" s="9" t="s">
        <v>270</v>
      </c>
      <c r="G15" s="9"/>
      <c r="H15" s="9" t="s">
        <v>288</v>
      </c>
      <c r="I15" s="9" t="str">
        <f aca="false">H15&amp;". "&amp;Style!$B$2&amp;" "&amp;Style!$B$6</f>
        <v>A gravedigger with a long spade over his shoulder, moonlit fog behind. Dark hand-drawn coloured-pencil illustration on black-toned paper. Visible pencil strokes and cross-hatching, waxy layered colour, soft grain of the paper showing through. Gothic 1819 Paris, Mary Shelley mood. Low-key candlelit lighting: a single warm light source (candle, lantern or lamp) carving figures out of near-black shadow. Muted palette of soot black, bruised plum, oxblood red, tarnished brass and bone white, with one small accent of cold galvanic blue where electricity or life appears. Subtle vignette fading to black at the edges. Melancholic, unsettling, quietly beautiful rather than gory: wounds and death are suggested with restraint, never graphic. Hand-made imperfections, no digital gloss. Format: 2:3 portrait, head and shoulders, centred, lower 20% dark and simple.</v>
      </c>
      <c r="J15" s="9" t="str">
        <f aca="false">Style!$B$4</f>
        <v>text, letters, words, captions, logos, watermark, signature, card frame, border, UI, photorealistic, 3D render, CGI, glossy, airbrushed, smooth digital painting, anime, cartoon, chibi, bright saturated colours, daylight, white background, gore, exposed organs in detail, modern clothing, modern objects</v>
      </c>
      <c r="K15" s="9" t="s">
        <v>64</v>
      </c>
      <c r="L15" s="9" t="s">
        <v>289</v>
      </c>
    </row>
    <row r="16" customFormat="false" ht="91" hidden="false" customHeight="false" outlineLevel="0" collapsed="false">
      <c r="A16" s="9" t="s">
        <v>290</v>
      </c>
      <c r="B16" s="9" t="s">
        <v>286</v>
      </c>
      <c r="C16" s="9" t="n">
        <v>1</v>
      </c>
      <c r="D16" s="9"/>
      <c r="E16" s="9" t="s">
        <v>291</v>
      </c>
      <c r="F16" s="9" t="s">
        <v>292</v>
      </c>
      <c r="G16" s="9"/>
      <c r="H16" s="9" t="s">
        <v>293</v>
      </c>
      <c r="I16" s="9" t="str">
        <f aca="false">H16&amp;". "&amp;Style!$B$2&amp;" "&amp;Style!$B$6</f>
        <v>A body snatcher in a battered top hat and green coat, rope and hook in hand. Dark hand-drawn coloured-pencil illustration on black-toned paper. Visible pencil strokes and cross-hatching, waxy layered colour, soft grain of the paper showing through. Gothic 1819 Paris, Mary Shelley mood. Low-key candlelit lighting: a single warm light source (candle, lantern or lamp) carving figures out of near-black shadow. Muted palette of soot black, bruised plum, oxblood red, tarnished brass and bone white, with one small accent of cold galvanic blue where electricity or life appears. Subtle vignette fading to black at the edges. Melancholic, unsettling, quietly beautiful rather than gory: wounds and death are suggested with restraint, never graphic. Hand-made imperfections, no digital gloss. Format: 2:3 portrait, head and shoulders, centred, lower 20% dark and simple.</v>
      </c>
      <c r="J16" s="9" t="str">
        <f aca="false">Style!$B$4</f>
        <v>text, letters, words, captions, logos, watermark, signature, card frame, border, UI, photorealistic, 3D render, CGI, glossy, airbrushed, smooth digital painting, anime, cartoon, chibi, bright saturated colours, daylight, white background, gore, exposed organs in detail, modern clothing, modern objects</v>
      </c>
      <c r="K16" s="9" t="s">
        <v>64</v>
      </c>
      <c r="L16" s="9" t="s">
        <v>294</v>
      </c>
    </row>
    <row r="17" customFormat="false" ht="91" hidden="false" customHeight="false" outlineLevel="0" collapsed="false">
      <c r="A17" s="9" t="s">
        <v>295</v>
      </c>
      <c r="B17" s="9" t="s">
        <v>286</v>
      </c>
      <c r="C17" s="9" t="n">
        <v>1</v>
      </c>
      <c r="D17" s="9"/>
      <c r="E17" s="9" t="s">
        <v>296</v>
      </c>
      <c r="F17" s="9" t="s">
        <v>292</v>
      </c>
      <c r="G17" s="9"/>
      <c r="H17" s="9" t="s">
        <v>297</v>
      </c>
      <c r="I17" s="9" t="str">
        <f aca="false">H17&amp;". "&amp;Style!$B$2&amp;" "&amp;Style!$B$6</f>
        <v>A tidy young widow in mourning blue with a sack over her shoulder. Dark hand-drawn coloured-pencil illustration on black-toned paper. Visible pencil strokes and cross-hatching, waxy layered colour, soft grain of the paper showing through. Gothic 1819 Paris, Mary Shelley mood. Low-key candlelit lighting: a single warm light source (candle, lantern or lamp) carving figures out of near-black shadow. Muted palette of soot black, bruised plum, oxblood red, tarnished brass and bone white, with one small accent of cold galvanic blue where electricity or life appears. Subtle vignette fading to black at the edges. Melancholic, unsettling, quietly beautiful rather than gory: wounds and death are suggested with restraint, never graphic. Hand-made imperfections, no digital gloss. Format: 2:3 portrait, head and shoulders, centred, lower 20% dark and simple.</v>
      </c>
      <c r="J17" s="9" t="str">
        <f aca="false">Style!$B$4</f>
        <v>text, letters, words, captions, logos, watermark, signature, card frame, border, UI, photorealistic, 3D render, CGI, glossy, airbrushed, smooth digital painting, anime, cartoon, chibi, bright saturated colours, daylight, white background, gore, exposed organs in detail, modern clothing, modern objects</v>
      </c>
      <c r="K17" s="9" t="s">
        <v>64</v>
      </c>
      <c r="L17" s="9" t="s">
        <v>298</v>
      </c>
    </row>
    <row r="18" customFormat="false" ht="91" hidden="false" customHeight="false" outlineLevel="0" collapsed="false">
      <c r="A18" s="9" t="s">
        <v>299</v>
      </c>
      <c r="B18" s="9" t="s">
        <v>300</v>
      </c>
      <c r="C18" s="9" t="n">
        <v>1</v>
      </c>
      <c r="D18" s="9"/>
      <c r="E18" s="9" t="s">
        <v>301</v>
      </c>
      <c r="F18" s="9"/>
      <c r="G18" s="9"/>
      <c r="H18" s="9" t="s">
        <v>302</v>
      </c>
      <c r="I18" s="9" t="str">
        <f aca="false">H18&amp;". "&amp;Style!$B$2&amp;" "&amp;Style!$B$6</f>
        <v>An old man in a wide-brimmed hat leaning on a stick, a sack of bones at his feet. Dark hand-drawn coloured-pencil illustration on black-toned paper. Visible pencil strokes and cross-hatching, waxy layered colour, soft grain of the paper showing through. Gothic 1819 Paris, Mary Shelley mood. Low-key candlelit lighting: a single warm light source (candle, lantern or lamp) carving figures out of near-black shadow. Muted palette of soot black, bruised plum, oxblood red, tarnished brass and bone white, with one small accent of cold galvanic blue where electricity or life appears. Subtle vignette fading to black at the edges. Melancholic, unsettling, quietly beautiful rather than gory: wounds and death are suggested with restraint, never graphic. Hand-made imperfections, no digital gloss. Format: 2:3 portrait, head and shoulders, centred, lower 20% dark and simple.</v>
      </c>
      <c r="J18" s="9" t="str">
        <f aca="false">Style!$B$4</f>
        <v>text, letters, words, captions, logos, watermark, signature, card frame, border, UI, photorealistic, 3D render, CGI, glossy, airbrushed, smooth digital painting, anime, cartoon, chibi, bright saturated colours, daylight, white background, gore, exposed organs in detail, modern clothing, modern objects</v>
      </c>
      <c r="K18" s="9" t="s">
        <v>64</v>
      </c>
      <c r="L18" s="9" t="s">
        <v>303</v>
      </c>
    </row>
  </sheetData>
  <autoFilter ref="A2:L1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22"/>
    <col collapsed="false" customWidth="true" hidden="false" outlineLevel="0" max="3" min="3" style="0" width="11"/>
    <col collapsed="false" customWidth="true" hidden="false" outlineLevel="0" max="4" min="4" style="0" width="50"/>
    <col collapsed="false" customWidth="true" hidden="false" outlineLevel="0" max="5" min="5" style="0" width="28"/>
    <col collapsed="false" customWidth="true" hidden="false" outlineLevel="0" max="6" min="6" style="0" width="24"/>
    <col collapsed="false" customWidth="true" hidden="false" outlineLevel="0" max="7" min="7" style="0" width="50"/>
    <col collapsed="false" customWidth="true" hidden="false" outlineLevel="0" max="8" min="8" style="0" width="90"/>
    <col collapsed="false" customWidth="true" hidden="false" outlineLevel="0" max="9" min="9" style="0" width="40"/>
    <col collapsed="false" customWidth="true" hidden="false" outlineLevel="0" max="10" min="10" style="0" width="8"/>
    <col collapsed="false" customWidth="true" hidden="false" outlineLevel="0" max="11" min="11" style="0" width="18"/>
  </cols>
  <sheetData>
    <row r="1" customFormat="false" ht="15" hidden="false" customHeight="false" outlineLevel="0" collapsed="false">
      <c r="A1" s="2" t="s">
        <v>1</v>
      </c>
    </row>
    <row r="2" customFormat="false" ht="15" hidden="false" customHeight="false" outlineLevel="0" collapsed="false">
      <c r="A2" s="8" t="s">
        <v>44</v>
      </c>
      <c r="B2" s="8" t="s">
        <v>228</v>
      </c>
      <c r="C2" s="8" t="s">
        <v>304</v>
      </c>
      <c r="D2" s="8" t="s">
        <v>305</v>
      </c>
      <c r="E2" s="8" t="s">
        <v>306</v>
      </c>
      <c r="F2" s="8" t="s">
        <v>307</v>
      </c>
      <c r="G2" s="8" t="s">
        <v>55</v>
      </c>
      <c r="H2" s="8" t="s">
        <v>56</v>
      </c>
      <c r="I2" s="8" t="s">
        <v>57</v>
      </c>
      <c r="J2" s="8" t="s">
        <v>58</v>
      </c>
      <c r="K2" s="8" t="s">
        <v>59</v>
      </c>
    </row>
    <row r="3" customFormat="false" ht="91" hidden="false" customHeight="false" outlineLevel="0" collapsed="false">
      <c r="A3" s="9" t="s">
        <v>308</v>
      </c>
      <c r="B3" s="9" t="s">
        <v>309</v>
      </c>
      <c r="C3" s="9" t="s">
        <v>310</v>
      </c>
      <c r="D3" s="9" t="s">
        <v>311</v>
      </c>
      <c r="E3" s="9" t="s">
        <v>312</v>
      </c>
      <c r="F3" s="9" t="s">
        <v>313</v>
      </c>
      <c r="G3" s="9" t="s">
        <v>314</v>
      </c>
      <c r="H3" s="9" t="str">
        <f aca="false">G3&amp;". "&amp;Style!$B$2&amp;" "&amp;Style!$B$9</f>
        <v>A wax-sealed letter of warning lying on a desk beside a dagger. Dark hand-drawn coloured-pencil illustration on black-toned paper. Visible pencil strokes and cross-hatching, waxy layered colour, soft grain of the paper showing through. Gothic 1819 Paris, Mary Shelley mood. Low-key candlelit lighting: a single warm light source (candle, lantern or lamp) carving figures out of near-black shadow. Muted palette of soot black, bruised plum, oxblood red, tarnished brass and bone white, with one small accent of cold galvanic blue where electricity or life appears. Subtle vignette fading to black at the edges. Melancholic, unsettling, quietly beautiful rather than gory: wounds and death are suggested with restraint, never graphic. Hand-made imperfections, no digital gloss. Format: 4:3 landscape, one clear object or moment in close-up, simple dark background.</v>
      </c>
      <c r="I3" s="9" t="str">
        <f aca="false">Style!$B$4</f>
        <v>text, letters, words, captions, logos, watermark, signature, card frame, border, UI, photorealistic, 3D render, CGI, glossy, airbrushed, smooth digital painting, anime, cartoon, chibi, bright saturated colours, daylight, white background, gore, exposed organs in detail, modern clothing, modern objects</v>
      </c>
      <c r="J3" s="9" t="s">
        <v>315</v>
      </c>
      <c r="K3" s="9" t="s">
        <v>316</v>
      </c>
    </row>
    <row r="4" customFormat="false" ht="91" hidden="false" customHeight="false" outlineLevel="0" collapsed="false">
      <c r="A4" s="9" t="s">
        <v>317</v>
      </c>
      <c r="B4" s="9" t="s">
        <v>318</v>
      </c>
      <c r="C4" s="9" t="s">
        <v>319</v>
      </c>
      <c r="D4" s="9" t="s">
        <v>320</v>
      </c>
      <c r="E4" s="9" t="s">
        <v>321</v>
      </c>
      <c r="F4" s="9" t="s">
        <v>322</v>
      </c>
      <c r="G4" s="9" t="s">
        <v>323</v>
      </c>
      <c r="H4" s="9" t="str">
        <f aca="false">G4&amp;". "&amp;Style!$B$2&amp;" "&amp;Style!$B$9</f>
        <v>A living man strapped to a table, a galvanic arc crawling over his chest. Dark hand-drawn coloured-pencil illustration on black-toned paper. Visible pencil strokes and cross-hatching, waxy layered colour, soft grain of the paper showing through. Gothic 1819 Paris, Mary Shelley mood. Low-key candlelit lighting: a single warm light source (candle, lantern or lamp) carving figures out of near-black shadow. Muted palette of soot black, bruised plum, oxblood red, tarnished brass and bone white, with one small accent of cold galvanic blue where electricity or life appears. Subtle vignette fading to black at the edges. Melancholic, unsettling, quietly beautiful rather than gory: wounds and death are suggested with restraint, never graphic. Hand-made imperfections, no digital gloss. Format: 4:3 landscape, one clear object or moment in close-up, simple dark background.</v>
      </c>
      <c r="I4" s="9" t="str">
        <f aca="false">Style!$B$4</f>
        <v>text, letters, words, captions, logos, watermark, signature, card frame, border, UI, photorealistic, 3D render, CGI, glossy, airbrushed, smooth digital painting, anime, cartoon, chibi, bright saturated colours, daylight, white background, gore, exposed organs in detail, modern clothing, modern objects</v>
      </c>
      <c r="J4" s="9" t="s">
        <v>315</v>
      </c>
      <c r="K4" s="9" t="s">
        <v>324</v>
      </c>
    </row>
    <row r="5" customFormat="false" ht="91" hidden="false" customHeight="false" outlineLevel="0" collapsed="false">
      <c r="A5" s="9" t="s">
        <v>325</v>
      </c>
      <c r="B5" s="9" t="s">
        <v>326</v>
      </c>
      <c r="C5" s="9" t="s">
        <v>327</v>
      </c>
      <c r="D5" s="9" t="s">
        <v>328</v>
      </c>
      <c r="E5" s="9"/>
      <c r="F5" s="9" t="s">
        <v>329</v>
      </c>
      <c r="G5" s="9" t="s">
        <v>330</v>
      </c>
      <c r="H5" s="9" t="str">
        <f aca="false">G5&amp;". "&amp;Style!$B$2&amp;" "&amp;Style!$B$9</f>
        <v>Shelves of glass pickling jars holding organs in cloudy fluid. Dark hand-drawn coloured-pencil illustration on black-toned paper. Visible pencil strokes and cross-hatching, waxy layered colour, soft grain of the paper showing through. Gothic 1819 Paris, Mary Shelley mood. Low-key candlelit lighting: a single warm light source (candle, lantern or lamp) carving figures out of near-black shadow. Muted palette of soot black, bruised plum, oxblood red, tarnished brass and bone white, with one small accent of cold galvanic blue where electricity or life appears. Subtle vignette fading to black at the edges. Melancholic, unsettling, quietly beautiful rather than gory: wounds and death are suggested with restraint, never graphic. Hand-made imperfections, no digital gloss. Format: 4:3 landscape, one clear object or moment in close-up, simple dark background.</v>
      </c>
      <c r="I5" s="9" t="str">
        <f aca="false">Style!$B$4</f>
        <v>text, letters, words, captions, logos, watermark, signature, card frame, border, UI, photorealistic, 3D render, CGI, glossy, airbrushed, smooth digital painting, anime, cartoon, chibi, bright saturated colours, daylight, white background, gore, exposed organs in detail, modern clothing, modern objects</v>
      </c>
      <c r="J5" s="9" t="s">
        <v>315</v>
      </c>
      <c r="K5" s="9" t="s">
        <v>331</v>
      </c>
    </row>
    <row r="6" customFormat="false" ht="102.2" hidden="false" customHeight="false" outlineLevel="0" collapsed="false">
      <c r="A6" s="9" t="s">
        <v>332</v>
      </c>
      <c r="B6" s="9" t="s">
        <v>333</v>
      </c>
      <c r="C6" s="9" t="s">
        <v>334</v>
      </c>
      <c r="D6" s="9" t="s">
        <v>335</v>
      </c>
      <c r="E6" s="9" t="s">
        <v>336</v>
      </c>
      <c r="F6" s="9" t="s">
        <v>337</v>
      </c>
      <c r="G6" s="9" t="s">
        <v>338</v>
      </c>
      <c r="H6" s="9" t="str">
        <f aca="false">G6&amp;". "&amp;Style!$B$2&amp;" "&amp;Style!$B$9</f>
        <v>An anatomist’s hands drawing a curved needle through a stitched seam of flesh. Dark hand-drawn coloured-pencil illustration on black-toned paper. Visible pencil strokes and cross-hatching, waxy layered colour, soft grain of the paper showing through. Gothic 1819 Paris, Mary Shelley mood. Low-key candlelit lighting: a single warm light source (candle, lantern or lamp) carving figures out of near-black shadow. Muted palette of soot black, bruised plum, oxblood red, tarnished brass and bone white, with one small accent of cold galvanic blue where electricity or life appears. Subtle vignette fading to black at the edges. Melancholic, unsettling, quietly beautiful rather than gory: wounds and death are suggested with restraint, never graphic. Hand-made imperfections, no digital gloss. Format: 4:3 landscape, one clear object or moment in close-up, simple dark background.</v>
      </c>
      <c r="I6" s="9" t="str">
        <f aca="false">Style!$B$4</f>
        <v>text, letters, words, captions, logos, watermark, signature, card frame, border, UI, photorealistic, 3D render, CGI, glossy, airbrushed, smooth digital painting, anime, cartoon, chibi, bright saturated colours, daylight, white background, gore, exposed organs in detail, modern clothing, modern objects</v>
      </c>
      <c r="J6" s="9" t="s">
        <v>315</v>
      </c>
      <c r="K6" s="9" t="s">
        <v>339</v>
      </c>
    </row>
    <row r="7" customFormat="false" ht="102.2" hidden="false" customHeight="false" outlineLevel="0" collapsed="false">
      <c r="A7" s="9" t="s">
        <v>340</v>
      </c>
      <c r="B7" s="9" t="s">
        <v>341</v>
      </c>
      <c r="C7" s="9" t="s">
        <v>342</v>
      </c>
      <c r="D7" s="9" t="s">
        <v>343</v>
      </c>
      <c r="E7" s="9" t="s">
        <v>344</v>
      </c>
      <c r="F7" s="9" t="s">
        <v>313</v>
      </c>
      <c r="G7" s="9" t="s">
        <v>345</v>
      </c>
      <c r="H7" s="9" t="str">
        <f aca="false">G7&amp;". "&amp;Style!$B$2&amp;" "&amp;Style!$B$9</f>
        <v>A rich young pupil in fine clothes watching a demonstration, purse on the table. Dark hand-drawn coloured-pencil illustration on black-toned paper. Visible pencil strokes and cross-hatching, waxy layered colour, soft grain of the paper showing through. Gothic 1819 Paris, Mary Shelley mood. Low-key candlelit lighting: a single warm light source (candle, lantern or lamp) carving figures out of near-black shadow. Muted palette of soot black, bruised plum, oxblood red, tarnished brass and bone white, with one small accent of cold galvanic blue where electricity or life appears. Subtle vignette fading to black at the edges. Melancholic, unsettling, quietly beautiful rather than gory: wounds and death are suggested with restraint, never graphic. Hand-made imperfections, no digital gloss. Format: 4:3 landscape, one clear object or moment in close-up, simple dark background.</v>
      </c>
      <c r="I7" s="9" t="str">
        <f aca="false">Style!$B$4</f>
        <v>text, letters, words, captions, logos, watermark, signature, card frame, border, UI, photorealistic, 3D render, CGI, glossy, airbrushed, smooth digital painting, anime, cartoon, chibi, bright saturated colours, daylight, white background, gore, exposed organs in detail, modern clothing, modern objects</v>
      </c>
      <c r="J7" s="9" t="s">
        <v>315</v>
      </c>
      <c r="K7" s="9" t="s">
        <v>346</v>
      </c>
    </row>
    <row r="8" customFormat="false" ht="102.2" hidden="false" customHeight="false" outlineLevel="0" collapsed="false">
      <c r="A8" s="9" t="s">
        <v>347</v>
      </c>
      <c r="B8" s="9" t="s">
        <v>348</v>
      </c>
      <c r="C8" s="9" t="s">
        <v>349</v>
      </c>
      <c r="D8" s="9" t="s">
        <v>350</v>
      </c>
      <c r="E8" s="9" t="s">
        <v>351</v>
      </c>
      <c r="F8" s="9" t="s">
        <v>322</v>
      </c>
      <c r="G8" s="9" t="s">
        <v>352</v>
      </c>
      <c r="H8" s="9" t="str">
        <f aca="false">G8&amp;". "&amp;Style!$B$2&amp;" "&amp;Style!$B$9</f>
        <v>A crowded candlelit lecture theatre, a shrouded body on the demonstration table. Dark hand-drawn coloured-pencil illustration on black-toned paper. Visible pencil strokes and cross-hatching, waxy layered colour, soft grain of the paper showing through. Gothic 1819 Paris, Mary Shelley mood. Low-key candlelit lighting: a single warm light source (candle, lantern or lamp) carving figures out of near-black shadow. Muted palette of soot black, bruised plum, oxblood red, tarnished brass and bone white, with one small accent of cold galvanic blue where electricity or life appears. Subtle vignette fading to black at the edges. Melancholic, unsettling, quietly beautiful rather than gory: wounds and death are suggested with restraint, never graphic. Hand-made imperfections, no digital gloss. Format: 4:3 landscape, one clear object or moment in close-up, simple dark background.</v>
      </c>
      <c r="I8" s="9" t="str">
        <f aca="false">Style!$B$4</f>
        <v>text, letters, words, captions, logos, watermark, signature, card frame, border, UI, photorealistic, 3D render, CGI, glossy, airbrushed, smooth digital painting, anime, cartoon, chibi, bright saturated colours, daylight, white background, gore, exposed organs in detail, modern clothing, modern objects</v>
      </c>
      <c r="J8" s="9" t="s">
        <v>315</v>
      </c>
      <c r="K8" s="9" t="s">
        <v>353</v>
      </c>
    </row>
    <row r="9" customFormat="false" ht="91" hidden="false" customHeight="false" outlineLevel="0" collapsed="false">
      <c r="A9" s="9" t="s">
        <v>354</v>
      </c>
      <c r="B9" s="9" t="s">
        <v>355</v>
      </c>
      <c r="C9" s="9" t="s">
        <v>342</v>
      </c>
      <c r="D9" s="9" t="s">
        <v>356</v>
      </c>
      <c r="E9" s="9" t="s">
        <v>336</v>
      </c>
      <c r="F9" s="9" t="s">
        <v>357</v>
      </c>
      <c r="G9" s="9" t="s">
        <v>358</v>
      </c>
      <c r="H9" s="9" t="str">
        <f aca="false">G9&amp;". "&amp;Style!$B$2&amp;" "&amp;Style!$B$9</f>
        <v>A pot of salve, linen bandages and a scalpel beside a stitched limb. Dark hand-drawn coloured-pencil illustration on black-toned paper. Visible pencil strokes and cross-hatching, waxy layered colour, soft grain of the paper showing through. Gothic 1819 Paris, Mary Shelley mood. Low-key candlelit lighting: a single warm light source (candle, lantern or lamp) carving figures out of near-black shadow. Muted palette of soot black, bruised plum, oxblood red, tarnished brass and bone white, with one small accent of cold galvanic blue where electricity or life appears. Subtle vignette fading to black at the edges. Melancholic, unsettling, quietly beautiful rather than gory: wounds and death are suggested with restraint, never graphic. Hand-made imperfections, no digital gloss. Format: 4:3 landscape, one clear object or moment in close-up, simple dark background.</v>
      </c>
      <c r="I9" s="9" t="str">
        <f aca="false">Style!$B$4</f>
        <v>text, letters, words, captions, logos, watermark, signature, card frame, border, UI, photorealistic, 3D render, CGI, glossy, airbrushed, smooth digital painting, anime, cartoon, chibi, bright saturated colours, daylight, white background, gore, exposed organs in detail, modern clothing, modern objects</v>
      </c>
      <c r="J9" s="9" t="s">
        <v>315</v>
      </c>
      <c r="K9" s="9" t="s">
        <v>359</v>
      </c>
    </row>
    <row r="10" customFormat="false" ht="91" hidden="false" customHeight="false" outlineLevel="0" collapsed="false">
      <c r="A10" s="9" t="s">
        <v>360</v>
      </c>
      <c r="B10" s="9" t="s">
        <v>361</v>
      </c>
      <c r="C10" s="9" t="s">
        <v>362</v>
      </c>
      <c r="D10" s="9" t="s">
        <v>363</v>
      </c>
      <c r="E10" s="9"/>
      <c r="F10" s="9" t="s">
        <v>364</v>
      </c>
      <c r="G10" s="9" t="s">
        <v>365</v>
      </c>
      <c r="H10" s="9" t="str">
        <f aca="false">G10&amp;". "&amp;Style!$B$2&amp;" "&amp;Style!$B$9</f>
        <v>A candle burnt to the stub over heaps of notes and an open skull. Dark hand-drawn coloured-pencil illustration on black-toned paper. Visible pencil strokes and cross-hatching, waxy layered colour, soft grain of the paper showing through. Gothic 1819 Paris, Mary Shelley mood. Low-key candlelit lighting: a single warm light source (candle, lantern or lamp) carving figures out of near-black shadow. Muted palette of soot black, bruised plum, oxblood red, tarnished brass and bone white, with one small accent of cold galvanic blue where electricity or life appears. Subtle vignette fading to black at the edges. Melancholic, unsettling, quietly beautiful rather than gory: wounds and death are suggested with restraint, never graphic. Hand-made imperfections, no digital gloss. Format: 4:3 landscape, one clear object or moment in close-up, simple dark background.</v>
      </c>
      <c r="I10" s="9" t="str">
        <f aca="false">Style!$B$4</f>
        <v>text, letters, words, captions, logos, watermark, signature, card frame, border, UI, photorealistic, 3D render, CGI, glossy, airbrushed, smooth digital painting, anime, cartoon, chibi, bright saturated colours, daylight, white background, gore, exposed organs in detail, modern clothing, modern objects</v>
      </c>
      <c r="J10" s="9" t="s">
        <v>315</v>
      </c>
      <c r="K10" s="9" t="s">
        <v>366</v>
      </c>
    </row>
    <row r="11" customFormat="false" ht="91" hidden="false" customHeight="false" outlineLevel="0" collapsed="false">
      <c r="A11" s="9" t="s">
        <v>367</v>
      </c>
      <c r="B11" s="9" t="s">
        <v>368</v>
      </c>
      <c r="C11" s="9" t="s">
        <v>369</v>
      </c>
      <c r="D11" s="9" t="s">
        <v>370</v>
      </c>
      <c r="E11" s="9" t="s">
        <v>351</v>
      </c>
      <c r="F11" s="9" t="s">
        <v>337</v>
      </c>
      <c r="G11" s="9" t="s">
        <v>371</v>
      </c>
      <c r="H11" s="9" t="str">
        <f aca="false">G11&amp;". "&amp;Style!$B$2&amp;" "&amp;Style!$B$9</f>
        <v>Fresh white flowers laid on a pale chest, morning light through a window. Dark hand-drawn coloured-pencil illustration on black-toned paper. Visible pencil strokes and cross-hatching, waxy layered colour, soft grain of the paper showing through. Gothic 1819 Paris, Mary Shelley mood. Low-key candlelit lighting: a single warm light source (candle, lantern or lamp) carving figures out of near-black shadow. Muted palette of soot black, bruised plum, oxblood red, tarnished brass and bone white, with one small accent of cold galvanic blue where electricity or life appears. Subtle vignette fading to black at the edges. Melancholic, unsettling, quietly beautiful rather than gory: wounds and death are suggested with restraint, never graphic. Hand-made imperfections, no digital gloss. Format: 4:3 landscape, one clear object or moment in close-up, simple dark background.</v>
      </c>
      <c r="I11" s="9" t="str">
        <f aca="false">Style!$B$4</f>
        <v>text, letters, words, captions, logos, watermark, signature, card frame, border, UI, photorealistic, 3D render, CGI, glossy, airbrushed, smooth digital painting, anime, cartoon, chibi, bright saturated colours, daylight, white background, gore, exposed organs in detail, modern clothing, modern objects</v>
      </c>
      <c r="J11" s="9" t="s">
        <v>315</v>
      </c>
      <c r="K11" s="9" t="s">
        <v>372</v>
      </c>
    </row>
    <row r="12" customFormat="false" ht="91" hidden="false" customHeight="false" outlineLevel="0" collapsed="false">
      <c r="A12" s="9" t="s">
        <v>373</v>
      </c>
      <c r="B12" s="9" t="s">
        <v>374</v>
      </c>
      <c r="C12" s="9" t="s">
        <v>375</v>
      </c>
      <c r="D12" s="9" t="s">
        <v>376</v>
      </c>
      <c r="E12" s="9" t="s">
        <v>377</v>
      </c>
      <c r="F12" s="9" t="s">
        <v>357</v>
      </c>
      <c r="G12" s="9" t="s">
        <v>378</v>
      </c>
      <c r="H12" s="9" t="str">
        <f aca="false">G12&amp;". "&amp;Style!$B$2&amp;" "&amp;Style!$B$9</f>
        <v>An open dissection with organs pinned and labelled on a board. Dark hand-drawn coloured-pencil illustration on black-toned paper. Visible pencil strokes and cross-hatching, waxy layered colour, soft grain of the paper showing through. Gothic 1819 Paris, Mary Shelley mood. Low-key candlelit lighting: a single warm light source (candle, lantern or lamp) carving figures out of near-black shadow. Muted palette of soot black, bruised plum, oxblood red, tarnished brass and bone white, with one small accent of cold galvanic blue where electricity or life appears. Subtle vignette fading to black at the edges. Melancholic, unsettling, quietly beautiful rather than gory: wounds and death are suggested with restraint, never graphic. Hand-made imperfections, no digital gloss. Format: 4:3 landscape, one clear object or moment in close-up, simple dark background.</v>
      </c>
      <c r="I12" s="9" t="str">
        <f aca="false">Style!$B$4</f>
        <v>text, letters, words, captions, logos, watermark, signature, card frame, border, UI, photorealistic, 3D render, CGI, glossy, airbrushed, smooth digital painting, anime, cartoon, chibi, bright saturated colours, daylight, white background, gore, exposed organs in detail, modern clothing, modern objects</v>
      </c>
      <c r="J12" s="9" t="s">
        <v>315</v>
      </c>
      <c r="K12" s="9" t="s">
        <v>379</v>
      </c>
    </row>
    <row r="13" customFormat="false" ht="91" hidden="false" customHeight="false" outlineLevel="0" collapsed="false">
      <c r="A13" s="9" t="s">
        <v>380</v>
      </c>
      <c r="B13" s="9" t="s">
        <v>381</v>
      </c>
      <c r="C13" s="9" t="s">
        <v>342</v>
      </c>
      <c r="D13" s="9" t="s">
        <v>382</v>
      </c>
      <c r="E13" s="9" t="s">
        <v>336</v>
      </c>
      <c r="F13" s="9" t="s">
        <v>357</v>
      </c>
      <c r="G13" s="9" t="s">
        <v>383</v>
      </c>
      <c r="H13" s="9" t="str">
        <f aca="false">G13&amp;". "&amp;Style!$B$2&amp;" "&amp;Style!$B$9</f>
        <v>A scholar asleep over an anatomy book by candlelight. Dark hand-drawn coloured-pencil illustration on black-toned paper. Visible pencil strokes and cross-hatching, waxy layered colour, soft grain of the paper showing through. Gothic 1819 Paris, Mary Shelley mood. Low-key candlelit lighting: a single warm light source (candle, lantern or lamp) carving figures out of near-black shadow. Muted palette of soot black, bruised plum, oxblood red, tarnished brass and bone white, with one small accent of cold galvanic blue where electricity or life appears. Subtle vignette fading to black at the edges. Melancholic, unsettling, quietly beautiful rather than gory: wounds and death are suggested with restraint, never graphic. Hand-made imperfections, no digital gloss. Format: 4:3 landscape, one clear object or moment in close-up, simple dark background.</v>
      </c>
      <c r="I13" s="9" t="str">
        <f aca="false">Style!$B$4</f>
        <v>text, letters, words, captions, logos, watermark, signature, card frame, border, UI, photorealistic, 3D render, CGI, glossy, airbrushed, smooth digital painting, anime, cartoon, chibi, bright saturated colours, daylight, white background, gore, exposed organs in detail, modern clothing, modern objects</v>
      </c>
      <c r="J13" s="9" t="s">
        <v>315</v>
      </c>
      <c r="K13" s="9" t="s">
        <v>384</v>
      </c>
    </row>
    <row r="14" customFormat="false" ht="91" hidden="false" customHeight="false" outlineLevel="0" collapsed="false">
      <c r="A14" s="9" t="s">
        <v>385</v>
      </c>
      <c r="B14" s="9" t="s">
        <v>386</v>
      </c>
      <c r="C14" s="9" t="s">
        <v>342</v>
      </c>
      <c r="D14" s="9" t="s">
        <v>387</v>
      </c>
      <c r="E14" s="9" t="s">
        <v>388</v>
      </c>
      <c r="F14" s="9" t="s">
        <v>364</v>
      </c>
      <c r="G14" s="9" t="s">
        <v>389</v>
      </c>
      <c r="H14" s="9" t="str">
        <f aca="false">G14&amp;". "&amp;Style!$B$2&amp;" "&amp;Style!$B$9</f>
        <v>A dead cat pinned on a dissection board, scalpels laid out. Dark hand-drawn coloured-pencil illustration on black-toned paper. Visible pencil strokes and cross-hatching, waxy layered colour, soft grain of the paper showing through. Gothic 1819 Paris, Mary Shelley mood. Low-key candlelit lighting: a single warm light source (candle, lantern or lamp) carving figures out of near-black shadow. Muted palette of soot black, bruised plum, oxblood red, tarnished brass and bone white, with one small accent of cold galvanic blue where electricity or life appears. Subtle vignette fading to black at the edges. Melancholic, unsettling, quietly beautiful rather than gory: wounds and death are suggested with restraint, never graphic. Hand-made imperfections, no digital gloss. Format: 4:3 landscape, one clear object or moment in close-up, simple dark background.</v>
      </c>
      <c r="I14" s="9" t="str">
        <f aca="false">Style!$B$4</f>
        <v>text, letters, words, captions, logos, watermark, signature, card frame, border, UI, photorealistic, 3D render, CGI, glossy, airbrushed, smooth digital painting, anime, cartoon, chibi, bright saturated colours, daylight, white background, gore, exposed organs in detail, modern clothing, modern objects</v>
      </c>
      <c r="J14" s="9" t="s">
        <v>315</v>
      </c>
      <c r="K14" s="9" t="s">
        <v>390</v>
      </c>
    </row>
    <row r="15" customFormat="false" ht="91" hidden="false" customHeight="false" outlineLevel="0" collapsed="false">
      <c r="A15" s="9" t="s">
        <v>391</v>
      </c>
      <c r="B15" s="9" t="s">
        <v>392</v>
      </c>
      <c r="C15" s="9" t="s">
        <v>393</v>
      </c>
      <c r="D15" s="9" t="s">
        <v>394</v>
      </c>
      <c r="E15" s="9" t="s">
        <v>395</v>
      </c>
      <c r="F15" s="9" t="s">
        <v>357</v>
      </c>
      <c r="G15" s="9" t="s">
        <v>396</v>
      </c>
      <c r="H15" s="9" t="str">
        <f aca="false">G15&amp;". "&amp;Style!$B$2&amp;" "&amp;Style!$B$9</f>
        <v>An electrolysis cell bubbling around a heart in a glass dish, blue sparks. Dark hand-drawn coloured-pencil illustration on black-toned paper. Visible pencil strokes and cross-hatching, waxy layered colour, soft grain of the paper showing through. Gothic 1819 Paris, Mary Shelley mood. Low-key candlelit lighting: a single warm light source (candle, lantern or lamp) carving figures out of near-black shadow. Muted palette of soot black, bruised plum, oxblood red, tarnished brass and bone white, with one small accent of cold galvanic blue where electricity or life appears. Subtle vignette fading to black at the edges. Melancholic, unsettling, quietly beautiful rather than gory: wounds and death are suggested with restraint, never graphic. Hand-made imperfections, no digital gloss. Format: 4:3 landscape, one clear object or moment in close-up, simple dark background.</v>
      </c>
      <c r="I15" s="9" t="str">
        <f aca="false">Style!$B$4</f>
        <v>text, letters, words, captions, logos, watermark, signature, card frame, border, UI, photorealistic, 3D render, CGI, glossy, airbrushed, smooth digital painting, anime, cartoon, chibi, bright saturated colours, daylight, white background, gore, exposed organs in detail, modern clothing, modern objects</v>
      </c>
      <c r="J15" s="9" t="s">
        <v>315</v>
      </c>
      <c r="K15" s="9" t="s">
        <v>397</v>
      </c>
    </row>
    <row r="16" customFormat="false" ht="102.2" hidden="false" customHeight="false" outlineLevel="0" collapsed="false">
      <c r="A16" s="9" t="s">
        <v>398</v>
      </c>
      <c r="B16" s="9" t="s">
        <v>399</v>
      </c>
      <c r="C16" s="9" t="s">
        <v>342</v>
      </c>
      <c r="D16" s="9" t="s">
        <v>400</v>
      </c>
      <c r="E16" s="9" t="s">
        <v>401</v>
      </c>
      <c r="F16" s="9" t="s">
        <v>364</v>
      </c>
      <c r="G16" s="9" t="s">
        <v>402</v>
      </c>
      <c r="H16" s="9" t="str">
        <f aca="false">G16&amp;". "&amp;Style!$B$2&amp;" "&amp;Style!$B$9</f>
        <v>A dead dog twitching on a table before a gasping crowd, blue current in the wires. Dark hand-drawn coloured-pencil illustration on black-toned paper. Visible pencil strokes and cross-hatching, waxy layered colour, soft grain of the paper showing through. Gothic 1819 Paris, Mary Shelley mood. Low-key candlelit lighting: a single warm light source (candle, lantern or lamp) carving figures out of near-black shadow. Muted palette of soot black, bruised plum, oxblood red, tarnished brass and bone white, with one small accent of cold galvanic blue where electricity or life appears. Subtle vignette fading to black at the edges. Melancholic, unsettling, quietly beautiful rather than gory: wounds and death are suggested with restraint, never graphic. Hand-made imperfections, no digital gloss. Format: 4:3 landscape, one clear object or moment in close-up, simple dark background.</v>
      </c>
      <c r="I16" s="9" t="str">
        <f aca="false">Style!$B$4</f>
        <v>text, letters, words, captions, logos, watermark, signature, card frame, border, UI, photorealistic, 3D render, CGI, glossy, airbrushed, smooth digital painting, anime, cartoon, chibi, bright saturated colours, daylight, white background, gore, exposed organs in detail, modern clothing, modern objects</v>
      </c>
      <c r="J16" s="9" t="s">
        <v>315</v>
      </c>
      <c r="K16" s="9" t="s">
        <v>403</v>
      </c>
    </row>
    <row r="17" customFormat="false" ht="91" hidden="false" customHeight="false" outlineLevel="0" collapsed="false">
      <c r="A17" s="9" t="s">
        <v>404</v>
      </c>
      <c r="B17" s="9" t="s">
        <v>405</v>
      </c>
      <c r="C17" s="9" t="s">
        <v>406</v>
      </c>
      <c r="D17" s="9" t="s">
        <v>407</v>
      </c>
      <c r="E17" s="9" t="s">
        <v>408</v>
      </c>
      <c r="F17" s="9" t="s">
        <v>357</v>
      </c>
      <c r="G17" s="9" t="s">
        <v>409</v>
      </c>
      <c r="H17" s="9" t="str">
        <f aca="false">G17&amp;". "&amp;Style!$B$2&amp;" "&amp;Style!$B$9</f>
        <v>A brass transfusion apparatus joining two arms with a tube of blood. Dark hand-drawn coloured-pencil illustration on black-toned paper. Visible pencil strokes and cross-hatching, waxy layered colour, soft grain of the paper showing through. Gothic 1819 Paris, Mary Shelley mood. Low-key candlelit lighting: a single warm light source (candle, lantern or lamp) carving figures out of near-black shadow. Muted palette of soot black, bruised plum, oxblood red, tarnished brass and bone white, with one small accent of cold galvanic blue where electricity or life appears. Subtle vignette fading to black at the edges. Melancholic, unsettling, quietly beautiful rather than gory: wounds and death are suggested with restraint, never graphic. Hand-made imperfections, no digital gloss. Format: 4:3 landscape, one clear object or moment in close-up, simple dark background.</v>
      </c>
      <c r="I17" s="9" t="str">
        <f aca="false">Style!$B$4</f>
        <v>text, letters, words, captions, logos, watermark, signature, card frame, border, UI, photorealistic, 3D render, CGI, glossy, airbrushed, smooth digital painting, anime, cartoon, chibi, bright saturated colours, daylight, white background, gore, exposed organs in detail, modern clothing, modern objects</v>
      </c>
      <c r="J17" s="9" t="s">
        <v>315</v>
      </c>
      <c r="K17" s="9" t="s">
        <v>410</v>
      </c>
    </row>
    <row r="18" customFormat="false" ht="91" hidden="false" customHeight="false" outlineLevel="0" collapsed="false">
      <c r="A18" s="9" t="s">
        <v>411</v>
      </c>
      <c r="B18" s="9" t="s">
        <v>412</v>
      </c>
      <c r="C18" s="9" t="s">
        <v>362</v>
      </c>
      <c r="D18" s="9" t="s">
        <v>413</v>
      </c>
      <c r="E18" s="9" t="s">
        <v>414</v>
      </c>
      <c r="F18" s="9" t="s">
        <v>337</v>
      </c>
      <c r="G18" s="9" t="s">
        <v>415</v>
      </c>
      <c r="H18" s="9" t="str">
        <f aca="false">G18&amp;". "&amp;Style!$B$2&amp;" "&amp;Style!$B$9</f>
        <v>A hand press printing an anatomical treatise, fresh pages hanging to dry. Dark hand-drawn coloured-pencil illustration on black-toned paper. Visible pencil strokes and cross-hatching, waxy layered colour, soft grain of the paper showing through. Gothic 1819 Paris, Mary Shelley mood. Low-key candlelit lighting: a single warm light source (candle, lantern or lamp) carving figures out of near-black shadow. Muted palette of soot black, bruised plum, oxblood red, tarnished brass and bone white, with one small accent of cold galvanic blue where electricity or life appears. Subtle vignette fading to black at the edges. Melancholic, unsettling, quietly beautiful rather than gory: wounds and death are suggested with restraint, never graphic. Hand-made imperfections, no digital gloss. Format: 4:3 landscape, one clear object or moment in close-up, simple dark background.</v>
      </c>
      <c r="I18" s="9" t="str">
        <f aca="false">Style!$B$4</f>
        <v>text, letters, words, captions, logos, watermark, signature, card frame, border, UI, photorealistic, 3D render, CGI, glossy, airbrushed, smooth digital painting, anime, cartoon, chibi, bright saturated colours, daylight, white background, gore, exposed organs in detail, modern clothing, modern objects</v>
      </c>
      <c r="J18" s="9" t="s">
        <v>315</v>
      </c>
      <c r="K18" s="9" t="s">
        <v>416</v>
      </c>
    </row>
  </sheetData>
  <autoFilter ref="A2:K1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26"/>
    <col collapsed="false" customWidth="true" hidden="false" outlineLevel="0" max="3" min="3" style="0" width="10"/>
    <col collapsed="false" customWidth="true" hidden="false" outlineLevel="0" max="4" min="4" style="0" width="56"/>
    <col collapsed="false" customWidth="true" hidden="false" outlineLevel="0" max="5" min="5" style="0" width="8"/>
    <col collapsed="false" customWidth="true" hidden="false" outlineLevel="0" max="6" min="6" style="0" width="26"/>
    <col collapsed="false" customWidth="true" hidden="false" outlineLevel="0" max="7" min="7" style="0" width="50"/>
    <col collapsed="false" customWidth="true" hidden="false" outlineLevel="0" max="8" min="8" style="0" width="90"/>
    <col collapsed="false" customWidth="true" hidden="false" outlineLevel="0" max="9" min="9" style="0" width="40"/>
    <col collapsed="false" customWidth="true" hidden="false" outlineLevel="0" max="10" min="10" style="0" width="8"/>
    <col collapsed="false" customWidth="true" hidden="false" outlineLevel="0" max="11" min="11" style="0" width="18"/>
  </cols>
  <sheetData>
    <row r="1" customFormat="false" ht="15" hidden="false" customHeight="false" outlineLevel="0" collapsed="false">
      <c r="A1" s="2" t="s">
        <v>1</v>
      </c>
    </row>
    <row r="2" customFormat="false" ht="15" hidden="false" customHeight="false" outlineLevel="0" collapsed="false">
      <c r="A2" s="8" t="s">
        <v>44</v>
      </c>
      <c r="B2" s="8" t="s">
        <v>228</v>
      </c>
      <c r="C2" s="8" t="s">
        <v>304</v>
      </c>
      <c r="D2" s="8" t="s">
        <v>305</v>
      </c>
      <c r="E2" s="8" t="s">
        <v>417</v>
      </c>
      <c r="F2" s="8" t="s">
        <v>306</v>
      </c>
      <c r="G2" s="8" t="s">
        <v>55</v>
      </c>
      <c r="H2" s="8" t="s">
        <v>56</v>
      </c>
      <c r="I2" s="8" t="s">
        <v>57</v>
      </c>
      <c r="J2" s="8" t="s">
        <v>58</v>
      </c>
      <c r="K2" s="8" t="s">
        <v>59</v>
      </c>
    </row>
    <row r="3" customFormat="false" ht="102.2" hidden="false" customHeight="false" outlineLevel="0" collapsed="false">
      <c r="A3" s="9" t="s">
        <v>418</v>
      </c>
      <c r="B3" s="9" t="s">
        <v>419</v>
      </c>
      <c r="C3" s="9" t="s">
        <v>420</v>
      </c>
      <c r="D3" s="9" t="s">
        <v>421</v>
      </c>
      <c r="E3" s="9" t="s">
        <v>422</v>
      </c>
      <c r="F3" s="9" t="s">
        <v>423</v>
      </c>
      <c r="G3" s="9" t="s">
        <v>424</v>
      </c>
      <c r="H3" s="9" t="str">
        <f aca="false">G3&amp;". "&amp;Style!$B$2&amp;" "&amp;Style!$B$9</f>
        <v>Whispering to an old grey-bearded sea captain in a fur-collared coat in a tavern corner. Dark hand-drawn coloured-pencil illustration on black-toned paper. Visible pencil strokes and cross-hatching, waxy layered colour, soft grain of the paper showing through. Gothic 1819 Paris, Mary Shelley mood. Low-key candlelit lighting: a single warm light source (candle, lantern or lamp) carving figures out of near-black shadow. Muted palette of soot black, bruised plum, oxblood red, tarnished brass and bone white, with one small accent of cold galvanic blue where electricity or life appears. Subtle vignette fading to black at the edges. Melancholic, unsettling, quietly beautiful rather than gory: wounds and death are suggested with restraint, never graphic. Hand-made imperfections, no digital gloss. Format: 4:3 landscape, one clear object or moment in close-up, simple dark background.</v>
      </c>
      <c r="I3" s="9" t="str">
        <f aca="false">Style!$B$4</f>
        <v>text, letters, words, captions, logos, watermark, signature, card frame, border, UI, photorealistic, 3D render, CGI, glossy, airbrushed, smooth digital painting, anime, cartoon, chibi, bright saturated colours, daylight, white background, gore, exposed organs in detail, modern clothing, modern objects</v>
      </c>
      <c r="J3" s="9" t="s">
        <v>315</v>
      </c>
      <c r="K3" s="9" t="s">
        <v>425</v>
      </c>
    </row>
    <row r="4" customFormat="false" ht="91" hidden="false" customHeight="false" outlineLevel="0" collapsed="false">
      <c r="A4" s="9" t="s">
        <v>426</v>
      </c>
      <c r="B4" s="9" t="s">
        <v>427</v>
      </c>
      <c r="C4" s="9" t="s">
        <v>420</v>
      </c>
      <c r="D4" s="9" t="s">
        <v>428</v>
      </c>
      <c r="E4" s="9" t="s">
        <v>429</v>
      </c>
      <c r="F4" s="9" t="s">
        <v>430</v>
      </c>
      <c r="G4" s="9" t="s">
        <v>431</v>
      </c>
      <c r="H4" s="9" t="str">
        <f aca="false">G4&amp;". "&amp;Style!$B$2&amp;" "&amp;Style!$B$9</f>
        <v>Coins pressed into the gloved hand of an old sea captain. Dark hand-drawn coloured-pencil illustration on black-toned paper. Visible pencil strokes and cross-hatching, waxy layered colour, soft grain of the paper showing through. Gothic 1819 Paris, Mary Shelley mood. Low-key candlelit lighting: a single warm light source (candle, lantern or lamp) carving figures out of near-black shadow. Muted palette of soot black, bruised plum, oxblood red, tarnished brass and bone white, with one small accent of cold galvanic blue where electricity or life appears. Subtle vignette fading to black at the edges. Melancholic, unsettling, quietly beautiful rather than gory: wounds and death are suggested with restraint, never graphic. Hand-made imperfections, no digital gloss. Format: 4:3 landscape, one clear object or moment in close-up, simple dark background.</v>
      </c>
      <c r="I4" s="9" t="str">
        <f aca="false">Style!$B$4</f>
        <v>text, letters, words, captions, logos, watermark, signature, card frame, border, UI, photorealistic, 3D render, CGI, glossy, airbrushed, smooth digital painting, anime, cartoon, chibi, bright saturated colours, daylight, white background, gore, exposed organs in detail, modern clothing, modern objects</v>
      </c>
      <c r="J4" s="9" t="s">
        <v>315</v>
      </c>
      <c r="K4" s="9" t="s">
        <v>432</v>
      </c>
    </row>
    <row r="5" customFormat="false" ht="91" hidden="false" customHeight="false" outlineLevel="0" collapsed="false">
      <c r="A5" s="9" t="s">
        <v>433</v>
      </c>
      <c r="B5" s="9" t="s">
        <v>434</v>
      </c>
      <c r="C5" s="9" t="s">
        <v>420</v>
      </c>
      <c r="D5" s="9" t="s">
        <v>435</v>
      </c>
      <c r="E5" s="9"/>
      <c r="F5" s="9" t="s">
        <v>436</v>
      </c>
      <c r="G5" s="9" t="s">
        <v>437</v>
      </c>
      <c r="H5" s="9" t="str">
        <f aca="false">G5&amp;". "&amp;Style!$B$2&amp;" "&amp;Style!$B$9</f>
        <v>Confessing at a table to an old sea captain with a pistol on the table. Dark hand-drawn coloured-pencil illustration on black-toned paper. Visible pencil strokes and cross-hatching, waxy layered colour, soft grain of the paper showing through. Gothic 1819 Paris, Mary Shelley mood. Low-key candlelit lighting: a single warm light source (candle, lantern or lamp) carving figures out of near-black shadow. Muted palette of soot black, bruised plum, oxblood red, tarnished brass and bone white, with one small accent of cold galvanic blue where electricity or life appears. Subtle vignette fading to black at the edges. Melancholic, unsettling, quietly beautiful rather than gory: wounds and death are suggested with restraint, never graphic. Hand-made imperfections, no digital gloss. Format: 4:3 landscape, one clear object or moment in close-up, simple dark background.</v>
      </c>
      <c r="I5" s="9" t="str">
        <f aca="false">Style!$B$4</f>
        <v>text, letters, words, captions, logos, watermark, signature, card frame, border, UI, photorealistic, 3D render, CGI, glossy, airbrushed, smooth digital painting, anime, cartoon, chibi, bright saturated colours, daylight, white background, gore, exposed organs in detail, modern clothing, modern objects</v>
      </c>
      <c r="J5" s="9" t="s">
        <v>315</v>
      </c>
      <c r="K5" s="9" t="s">
        <v>438</v>
      </c>
    </row>
    <row r="6" customFormat="false" ht="91" hidden="false" customHeight="false" outlineLevel="0" collapsed="false">
      <c r="A6" s="9" t="s">
        <v>439</v>
      </c>
      <c r="B6" s="9" t="s">
        <v>440</v>
      </c>
      <c r="C6" s="9" t="s">
        <v>342</v>
      </c>
      <c r="D6" s="9" t="s">
        <v>441</v>
      </c>
      <c r="E6" s="9"/>
      <c r="F6" s="9" t="s">
        <v>436</v>
      </c>
      <c r="G6" s="9" t="s">
        <v>442</v>
      </c>
      <c r="H6" s="9" t="str">
        <f aca="false">G6&amp;". "&amp;Style!$B$2&amp;" "&amp;Style!$B$9</f>
        <v>A petition being signed before a stern prefect at a desk. Dark hand-drawn coloured-pencil illustration on black-toned paper. Visible pencil strokes and cross-hatching, waxy layered colour, soft grain of the paper showing through. Gothic 1819 Paris, Mary Shelley mood. Low-key candlelit lighting: a single warm light source (candle, lantern or lamp) carving figures out of near-black shadow. Muted palette of soot black, bruised plum, oxblood red, tarnished brass and bone white, with one small accent of cold galvanic blue where electricity or life appears. Subtle vignette fading to black at the edges. Melancholic, unsettling, quietly beautiful rather than gory: wounds and death are suggested with restraint, never graphic. Hand-made imperfections, no digital gloss. Format: 4:3 landscape, one clear object or moment in close-up, simple dark background.</v>
      </c>
      <c r="I6" s="9" t="str">
        <f aca="false">Style!$B$4</f>
        <v>text, letters, words, captions, logos, watermark, signature, card frame, border, UI, photorealistic, 3D render, CGI, glossy, airbrushed, smooth digital painting, anime, cartoon, chibi, bright saturated colours, daylight, white background, gore, exposed organs in detail, modern clothing, modern objects</v>
      </c>
      <c r="J6" s="9" t="s">
        <v>315</v>
      </c>
      <c r="K6" s="9" t="s">
        <v>443</v>
      </c>
    </row>
    <row r="7" customFormat="false" ht="91" hidden="false" customHeight="false" outlineLevel="0" collapsed="false">
      <c r="A7" s="9" t="s">
        <v>444</v>
      </c>
      <c r="B7" s="9" t="s">
        <v>445</v>
      </c>
      <c r="C7" s="9" t="s">
        <v>310</v>
      </c>
      <c r="D7" s="9" t="s">
        <v>446</v>
      </c>
      <c r="E7" s="9"/>
      <c r="F7" s="9" t="s">
        <v>430</v>
      </c>
      <c r="G7" s="9" t="s">
        <v>447</v>
      </c>
      <c r="H7" s="9" t="str">
        <f aca="false">G7&amp;". "&amp;Style!$B$2&amp;" "&amp;Style!$B$9</f>
        <v>A spring trap and tripwire set inside a laboratory door. Dark hand-drawn coloured-pencil illustration on black-toned paper. Visible pencil strokes and cross-hatching, waxy layered colour, soft grain of the paper showing through. Gothic 1819 Paris, Mary Shelley mood. Low-key candlelit lighting: a single warm light source (candle, lantern or lamp) carving figures out of near-black shadow. Muted palette of soot black, bruised plum, oxblood red, tarnished brass and bone white, with one small accent of cold galvanic blue where electricity or life appears. Subtle vignette fading to black at the edges. Melancholic, unsettling, quietly beautiful rather than gory: wounds and death are suggested with restraint, never graphic. Hand-made imperfections, no digital gloss. Format: 4:3 landscape, one clear object or moment in close-up, simple dark background.</v>
      </c>
      <c r="I7" s="9" t="str">
        <f aca="false">Style!$B$4</f>
        <v>text, letters, words, captions, logos, watermark, signature, card frame, border, UI, photorealistic, 3D render, CGI, glossy, airbrushed, smooth digital painting, anime, cartoon, chibi, bright saturated colours, daylight, white background, gore, exposed organs in detail, modern clothing, modern objects</v>
      </c>
      <c r="J7" s="9" t="s">
        <v>315</v>
      </c>
      <c r="K7" s="9" t="s">
        <v>448</v>
      </c>
    </row>
    <row r="8" customFormat="false" ht="91" hidden="false" customHeight="false" outlineLevel="0" collapsed="false">
      <c r="A8" s="9" t="s">
        <v>449</v>
      </c>
      <c r="B8" s="9" t="s">
        <v>450</v>
      </c>
      <c r="C8" s="9" t="s">
        <v>310</v>
      </c>
      <c r="D8" s="9" t="s">
        <v>451</v>
      </c>
      <c r="E8" s="9"/>
      <c r="F8" s="9" t="s">
        <v>452</v>
      </c>
      <c r="G8" s="9" t="s">
        <v>453</v>
      </c>
      <c r="H8" s="9" t="str">
        <f aca="false">G8&amp;". "&amp;Style!$B$2&amp;" "&amp;Style!$B$9</f>
        <v>A royal pardon with a red wax seal, the guillotine blurred behind. Dark hand-drawn coloured-pencil illustration on black-toned paper. Visible pencil strokes and cross-hatching, waxy layered colour, soft grain of the paper showing through. Gothic 1819 Paris, Mary Shelley mood. Low-key candlelit lighting: a single warm light source (candle, lantern or lamp) carving figures out of near-black shadow. Muted palette of soot black, bruised plum, oxblood red, tarnished brass and bone white, with one small accent of cold galvanic blue where electricity or life appears. Subtle vignette fading to black at the edges. Melancholic, unsettling, quietly beautiful rather than gory: wounds and death are suggested with restraint, never graphic. Hand-made imperfections, no digital gloss. Format: 4:3 landscape, one clear object or moment in close-up, simple dark background.</v>
      </c>
      <c r="I8" s="9" t="str">
        <f aca="false">Style!$B$4</f>
        <v>text, letters, words, captions, logos, watermark, signature, card frame, border, UI, photorealistic, 3D render, CGI, glossy, airbrushed, smooth digital painting, anime, cartoon, chibi, bright saturated colours, daylight, white background, gore, exposed organs in detail, modern clothing, modern objects</v>
      </c>
      <c r="J8" s="9" t="s">
        <v>315</v>
      </c>
      <c r="K8" s="9" t="s">
        <v>454</v>
      </c>
    </row>
    <row r="9" customFormat="false" ht="91" hidden="false" customHeight="false" outlineLevel="0" collapsed="false">
      <c r="A9" s="9" t="s">
        <v>455</v>
      </c>
      <c r="B9" s="9" t="s">
        <v>456</v>
      </c>
      <c r="C9" s="9" t="s">
        <v>457</v>
      </c>
      <c r="D9" s="9" t="s">
        <v>458</v>
      </c>
      <c r="E9" s="9"/>
      <c r="F9" s="9" t="s">
        <v>459</v>
      </c>
      <c r="G9" s="9" t="s">
        <v>460</v>
      </c>
      <c r="H9" s="9" t="str">
        <f aca="false">G9&amp;". "&amp;Style!$B$2&amp;" "&amp;Style!$B$9</f>
        <v>A plain coffin lowered into a grave with a handful of flowers. Dark hand-drawn coloured-pencil illustration on black-toned paper. Visible pencil strokes and cross-hatching, waxy layered colour, soft grain of the paper showing through. Gothic 1819 Paris, Mary Shelley mood. Low-key candlelit lighting: a single warm light source (candle, lantern or lamp) carving figures out of near-black shadow. Muted palette of soot black, bruised plum, oxblood red, tarnished brass and bone white, with one small accent of cold galvanic blue where electricity or life appears. Subtle vignette fading to black at the edges. Melancholic, unsettling, quietly beautiful rather than gory: wounds and death are suggested with restraint, never graphic. Hand-made imperfections, no digital gloss. Format: 4:3 landscape, one clear object or moment in close-up, simple dark background.</v>
      </c>
      <c r="I9" s="9" t="str">
        <f aca="false">Style!$B$4</f>
        <v>text, letters, words, captions, logos, watermark, signature, card frame, border, UI, photorealistic, 3D render, CGI, glossy, airbrushed, smooth digital painting, anime, cartoon, chibi, bright saturated colours, daylight, white background, gore, exposed organs in detail, modern clothing, modern objects</v>
      </c>
      <c r="J9" s="9" t="s">
        <v>315</v>
      </c>
      <c r="K9" s="9" t="s">
        <v>461</v>
      </c>
    </row>
    <row r="10" customFormat="false" ht="91" hidden="false" customHeight="false" outlineLevel="0" collapsed="false">
      <c r="A10" s="9" t="s">
        <v>462</v>
      </c>
      <c r="B10" s="9" t="s">
        <v>463</v>
      </c>
      <c r="C10" s="9" t="s">
        <v>342</v>
      </c>
      <c r="D10" s="9" t="s">
        <v>464</v>
      </c>
      <c r="E10" s="9"/>
      <c r="F10" s="9" t="s">
        <v>436</v>
      </c>
      <c r="G10" s="9" t="s">
        <v>465</v>
      </c>
      <c r="H10" s="9" t="str">
        <f aca="false">G10&amp;". "&amp;Style!$B$2&amp;" "&amp;Style!$B$9</f>
        <v>A lantern vigil among tombstones at night, a cloaked watcher. Dark hand-drawn coloured-pencil illustration on black-toned paper. Visible pencil strokes and cross-hatching, waxy layered colour, soft grain of the paper showing through. Gothic 1819 Paris, Mary Shelley mood. Low-key candlelit lighting: a single warm light source (candle, lantern or lamp) carving figures out of near-black shadow. Muted palette of soot black, bruised plum, oxblood red, tarnished brass and bone white, with one small accent of cold galvanic blue where electricity or life appears. Subtle vignette fading to black at the edges. Melancholic, unsettling, quietly beautiful rather than gory: wounds and death are suggested with restraint, never graphic. Hand-made imperfections, no digital gloss. Format: 4:3 landscape, one clear object or moment in close-up, simple dark background.</v>
      </c>
      <c r="I10" s="9" t="str">
        <f aca="false">Style!$B$4</f>
        <v>text, letters, words, captions, logos, watermark, signature, card frame, border, UI, photorealistic, 3D render, CGI, glossy, airbrushed, smooth digital painting, anime, cartoon, chibi, bright saturated colours, daylight, white background, gore, exposed organs in detail, modern clothing, modern objects</v>
      </c>
      <c r="J10" s="9" t="s">
        <v>315</v>
      </c>
      <c r="K10" s="9" t="s">
        <v>466</v>
      </c>
    </row>
    <row r="11" customFormat="false" ht="91" hidden="false" customHeight="false" outlineLevel="0" collapsed="false">
      <c r="A11" s="9" t="s">
        <v>467</v>
      </c>
      <c r="B11" s="9" t="s">
        <v>468</v>
      </c>
      <c r="C11" s="9" t="s">
        <v>342</v>
      </c>
      <c r="D11" s="9" t="s">
        <v>469</v>
      </c>
      <c r="E11" s="9"/>
      <c r="F11" s="9" t="s">
        <v>436</v>
      </c>
      <c r="G11" s="9" t="s">
        <v>470</v>
      </c>
      <c r="H11" s="9" t="str">
        <f aca="false">G11&amp;". "&amp;Style!$B$2&amp;" "&amp;Style!$B$9</f>
        <v>The morgue doors chained shut with a notice nailed to them. Dark hand-drawn coloured-pencil illustration on black-toned paper. Visible pencil strokes and cross-hatching, waxy layered colour, soft grain of the paper showing through. Gothic 1819 Paris, Mary Shelley mood. Low-key candlelit lighting: a single warm light source (candle, lantern or lamp) carving figures out of near-black shadow. Muted palette of soot black, bruised plum, oxblood red, tarnished brass and bone white, with one small accent of cold galvanic blue where electricity or life appears. Subtle vignette fading to black at the edges. Melancholic, unsettling, quietly beautiful rather than gory: wounds and death are suggested with restraint, never graphic. Hand-made imperfections, no digital gloss. Format: 4:3 landscape, one clear object or moment in close-up, simple dark background.</v>
      </c>
      <c r="I11" s="9" t="str">
        <f aca="false">Style!$B$4</f>
        <v>text, letters, words, captions, logos, watermark, signature, card frame, border, UI, photorealistic, 3D render, CGI, glossy, airbrushed, smooth digital painting, anime, cartoon, chibi, bright saturated colours, daylight, white background, gore, exposed organs in detail, modern clothing, modern objects</v>
      </c>
      <c r="J11" s="9" t="s">
        <v>315</v>
      </c>
      <c r="K11" s="9" t="s">
        <v>471</v>
      </c>
    </row>
    <row r="12" customFormat="false" ht="91" hidden="false" customHeight="false" outlineLevel="0" collapsed="false">
      <c r="A12" s="9" t="s">
        <v>472</v>
      </c>
      <c r="B12" s="9" t="s">
        <v>473</v>
      </c>
      <c r="C12" s="9" t="s">
        <v>349</v>
      </c>
      <c r="D12" s="9" t="s">
        <v>474</v>
      </c>
      <c r="E12" s="9"/>
      <c r="F12" s="9" t="s">
        <v>430</v>
      </c>
      <c r="G12" s="9" t="s">
        <v>475</v>
      </c>
      <c r="H12" s="9" t="str">
        <f aca="false">G12&amp;". "&amp;Style!$B$2&amp;" "&amp;Style!$B$9</f>
        <v>Cage doors opened and stray dogs running into the night. Dark hand-drawn coloured-pencil illustration on black-toned paper. Visible pencil strokes and cross-hatching, waxy layered colour, soft grain of the paper showing through. Gothic 1819 Paris, Mary Shelley mood. Low-key candlelit lighting: a single warm light source (candle, lantern or lamp) carving figures out of near-black shadow. Muted palette of soot black, bruised plum, oxblood red, tarnished brass and bone white, with one small accent of cold galvanic blue where electricity or life appears. Subtle vignette fading to black at the edges. Melancholic, unsettling, quietly beautiful rather than gory: wounds and death are suggested with restraint, never graphic. Hand-made imperfections, no digital gloss. Format: 4:3 landscape, one clear object or moment in close-up, simple dark background.</v>
      </c>
      <c r="I12" s="9" t="str">
        <f aca="false">Style!$B$4</f>
        <v>text, letters, words, captions, logos, watermark, signature, card frame, border, UI, photorealistic, 3D render, CGI, glossy, airbrushed, smooth digital painting, anime, cartoon, chibi, bright saturated colours, daylight, white background, gore, exposed organs in detail, modern clothing, modern objects</v>
      </c>
      <c r="J12" s="9" t="s">
        <v>315</v>
      </c>
      <c r="K12" s="9" t="s">
        <v>476</v>
      </c>
    </row>
    <row r="13" customFormat="false" ht="91" hidden="false" customHeight="false" outlineLevel="0" collapsed="false">
      <c r="A13" s="9" t="s">
        <v>477</v>
      </c>
      <c r="B13" s="9" t="s">
        <v>478</v>
      </c>
      <c r="C13" s="9" t="s">
        <v>342</v>
      </c>
      <c r="D13" s="9" t="s">
        <v>479</v>
      </c>
      <c r="E13" s="9"/>
      <c r="F13" s="9" t="s">
        <v>436</v>
      </c>
      <c r="G13" s="9" t="s">
        <v>480</v>
      </c>
      <c r="H13" s="9" t="str">
        <f aca="false">G13&amp;". "&amp;Style!$B$2&amp;" "&amp;Style!$B$9</f>
        <v>A lone figure with a lantern walking the foggy quays of the Seine. Dark hand-drawn coloured-pencil illustration on black-toned paper. Visible pencil strokes and cross-hatching, waxy layered colour, soft grain of the paper showing through. Gothic 1819 Paris, Mary Shelley mood. Low-key candlelit lighting: a single warm light source (candle, lantern or lamp) carving figures out of near-black shadow. Muted palette of soot black, bruised plum, oxblood red, tarnished brass and bone white, with one small accent of cold galvanic blue where electricity or life appears. Subtle vignette fading to black at the edges. Melancholic, unsettling, quietly beautiful rather than gory: wounds and death are suggested with restraint, never graphic. Hand-made imperfections, no digital gloss. Format: 4:3 landscape, one clear object or moment in close-up, simple dark background.</v>
      </c>
      <c r="I13" s="9" t="str">
        <f aca="false">Style!$B$4</f>
        <v>text, letters, words, captions, logos, watermark, signature, card frame, border, UI, photorealistic, 3D render, CGI, glossy, airbrushed, smooth digital painting, anime, cartoon, chibi, bright saturated colours, daylight, white background, gore, exposed organs in detail, modern clothing, modern objects</v>
      </c>
      <c r="J13" s="9" t="s">
        <v>315</v>
      </c>
      <c r="K13" s="9" t="s">
        <v>481</v>
      </c>
    </row>
    <row r="14" customFormat="false" ht="91" hidden="false" customHeight="false" outlineLevel="0" collapsed="false">
      <c r="A14" s="9" t="s">
        <v>482</v>
      </c>
      <c r="B14" s="9" t="s">
        <v>483</v>
      </c>
      <c r="C14" s="9" t="s">
        <v>484</v>
      </c>
      <c r="D14" s="9" t="s">
        <v>485</v>
      </c>
      <c r="E14" s="9"/>
      <c r="F14" s="9" t="s">
        <v>436</v>
      </c>
      <c r="G14" s="9" t="s">
        <v>486</v>
      </c>
      <c r="H14" s="9" t="str">
        <f aca="false">G14&amp;". "&amp;Style!$B$2&amp;" "&amp;Style!$B$9</f>
        <v>Cut copper wires dangling from a Leyden jar, pliers beside it. Dark hand-drawn coloured-pencil illustration on black-toned paper. Visible pencil strokes and cross-hatching, waxy layered colour, soft grain of the paper showing through. Gothic 1819 Paris, Mary Shelley mood. Low-key candlelit lighting: a single warm light source (candle, lantern or lamp) carving figures out of near-black shadow. Muted palette of soot black, bruised plum, oxblood red, tarnished brass and bone white, with one small accent of cold galvanic blue where electricity or life appears. Subtle vignette fading to black at the edges. Melancholic, unsettling, quietly beautiful rather than gory: wounds and death are suggested with restraint, never graphic. Hand-made imperfections, no digital gloss. Format: 4:3 landscape, one clear object or moment in close-up, simple dark background.</v>
      </c>
      <c r="I14" s="9" t="str">
        <f aca="false">Style!$B$4</f>
        <v>text, letters, words, captions, logos, watermark, signature, card frame, border, UI, photorealistic, 3D render, CGI, glossy, airbrushed, smooth digital painting, anime, cartoon, chibi, bright saturated colours, daylight, white background, gore, exposed organs in detail, modern clothing, modern objects</v>
      </c>
      <c r="J14" s="9" t="s">
        <v>315</v>
      </c>
      <c r="K14" s="9" t="s">
        <v>487</v>
      </c>
    </row>
    <row r="15" customFormat="false" ht="91" hidden="false" customHeight="false" outlineLevel="0" collapsed="false">
      <c r="A15" s="9" t="s">
        <v>488</v>
      </c>
      <c r="B15" s="9" t="s">
        <v>489</v>
      </c>
      <c r="C15" s="9" t="s">
        <v>342</v>
      </c>
      <c r="D15" s="9" t="s">
        <v>490</v>
      </c>
      <c r="E15" s="9"/>
      <c r="F15" s="9" t="s">
        <v>423</v>
      </c>
      <c r="G15" s="9" t="s">
        <v>491</v>
      </c>
      <c r="H15" s="9" t="str">
        <f aca="false">G15&amp;". "&amp;Style!$B$2&amp;" "&amp;Style!$B$9</f>
        <v>A hand on a chest blocking a narrow street doorway. Dark hand-drawn coloured-pencil illustration on black-toned paper. Visible pencil strokes and cross-hatching, waxy layered colour, soft grain of the paper showing through. Gothic 1819 Paris, Mary Shelley mood. Low-key candlelit lighting: a single warm light source (candle, lantern or lamp) carving figures out of near-black shadow. Muted palette of soot black, bruised plum, oxblood red, tarnished brass and bone white, with one small accent of cold galvanic blue where electricity or life appears. Subtle vignette fading to black at the edges. Melancholic, unsettling, quietly beautiful rather than gory: wounds and death are suggested with restraint, never graphic. Hand-made imperfections, no digital gloss. Format: 4:3 landscape, one clear object or moment in close-up, simple dark background.</v>
      </c>
      <c r="I15" s="9" t="str">
        <f aca="false">Style!$B$4</f>
        <v>text, letters, words, captions, logos, watermark, signature, card frame, border, UI, photorealistic, 3D render, CGI, glossy, airbrushed, smooth digital painting, anime, cartoon, chibi, bright saturated colours, daylight, white background, gore, exposed organs in detail, modern clothing, modern objects</v>
      </c>
      <c r="J15" s="9" t="s">
        <v>315</v>
      </c>
      <c r="K15" s="9" t="s">
        <v>492</v>
      </c>
    </row>
    <row r="16" customFormat="false" ht="91" hidden="false" customHeight="false" outlineLevel="0" collapsed="false">
      <c r="A16" s="9" t="s">
        <v>493</v>
      </c>
      <c r="B16" s="9" t="s">
        <v>494</v>
      </c>
      <c r="C16" s="9" t="s">
        <v>349</v>
      </c>
      <c r="D16" s="9" t="s">
        <v>495</v>
      </c>
      <c r="E16" s="9"/>
      <c r="F16" s="9" t="s">
        <v>430</v>
      </c>
      <c r="G16" s="9" t="s">
        <v>496</v>
      </c>
      <c r="H16" s="9" t="str">
        <f aca="false">G16&amp;". "&amp;Style!$B$2&amp;" "&amp;Style!$B$9</f>
        <v>A speaker at a lectern beside a shrouded body, hand raised. Dark hand-drawn coloured-pencil illustration on black-toned paper. Visible pencil strokes and cross-hatching, waxy layered colour, soft grain of the paper showing through. Gothic 1819 Paris, Mary Shelley mood. Low-key candlelit lighting: a single warm light source (candle, lantern or lamp) carving figures out of near-black shadow. Muted palette of soot black, bruised plum, oxblood red, tarnished brass and bone white, with one small accent of cold galvanic blue where electricity or life appears. Subtle vignette fading to black at the edges. Melancholic, unsettling, quietly beautiful rather than gory: wounds and death are suggested with restraint, never graphic. Hand-made imperfections, no digital gloss. Format: 4:3 landscape, one clear object or moment in close-up, simple dark background.</v>
      </c>
      <c r="I16" s="9" t="str">
        <f aca="false">Style!$B$4</f>
        <v>text, letters, words, captions, logos, watermark, signature, card frame, border, UI, photorealistic, 3D render, CGI, glossy, airbrushed, smooth digital painting, anime, cartoon, chibi, bright saturated colours, daylight, white background, gore, exposed organs in detail, modern clothing, modern objects</v>
      </c>
      <c r="J16" s="9" t="s">
        <v>315</v>
      </c>
      <c r="K16" s="9" t="s">
        <v>497</v>
      </c>
    </row>
    <row r="17" customFormat="false" ht="91" hidden="false" customHeight="false" outlineLevel="0" collapsed="false">
      <c r="A17" s="9" t="s">
        <v>498</v>
      </c>
      <c r="B17" s="9" t="s">
        <v>499</v>
      </c>
      <c r="C17" s="9" t="s">
        <v>484</v>
      </c>
      <c r="D17" s="9" t="s">
        <v>500</v>
      </c>
      <c r="E17" s="9"/>
      <c r="F17" s="9" t="s">
        <v>423</v>
      </c>
      <c r="G17" s="9" t="s">
        <v>501</v>
      </c>
      <c r="H17" s="9" t="str">
        <f aca="false">G17&amp;". "&amp;Style!$B$2&amp;" "&amp;Style!$B$9</f>
        <v>Street urchins running off down an alley with stolen specimen jars. Dark hand-drawn coloured-pencil illustration on black-toned paper. Visible pencil strokes and cross-hatching, waxy layered colour, soft grain of the paper showing through. Gothic 1819 Paris, Mary Shelley mood. Low-key candlelit lighting: a single warm light source (candle, lantern or lamp) carving figures out of near-black shadow. Muted palette of soot black, bruised plum, oxblood red, tarnished brass and bone white, with one small accent of cold galvanic blue where electricity or life appears. Subtle vignette fading to black at the edges. Melancholic, unsettling, quietly beautiful rather than gory: wounds and death are suggested with restraint, never graphic. Hand-made imperfections, no digital gloss. Format: 4:3 landscape, one clear object or moment in close-up, simple dark background.</v>
      </c>
      <c r="I17" s="9" t="str">
        <f aca="false">Style!$B$4</f>
        <v>text, letters, words, captions, logos, watermark, signature, card frame, border, UI, photorealistic, 3D render, CGI, glossy, airbrushed, smooth digital painting, anime, cartoon, chibi, bright saturated colours, daylight, white background, gore, exposed organs in detail, modern clothing, modern objects</v>
      </c>
      <c r="J17" s="9" t="s">
        <v>315</v>
      </c>
      <c r="K17" s="9" t="s">
        <v>502</v>
      </c>
    </row>
    <row r="18" customFormat="false" ht="91" hidden="false" customHeight="false" outlineLevel="0" collapsed="false">
      <c r="A18" s="9" t="s">
        <v>503</v>
      </c>
      <c r="B18" s="9" t="s">
        <v>504</v>
      </c>
      <c r="C18" s="9" t="s">
        <v>484</v>
      </c>
      <c r="D18" s="9" t="s">
        <v>505</v>
      </c>
      <c r="E18" s="9"/>
      <c r="F18" s="9" t="s">
        <v>423</v>
      </c>
      <c r="G18" s="9" t="s">
        <v>506</v>
      </c>
      <c r="H18" s="9" t="str">
        <f aca="false">G18&amp;". "&amp;Style!$B$2&amp;" "&amp;Style!$B$9</f>
        <v>An overturned lantern setting a pile of research papers alight. Dark hand-drawn coloured-pencil illustration on black-toned paper. Visible pencil strokes and cross-hatching, waxy layered colour, soft grain of the paper showing through. Gothic 1819 Paris, Mary Shelley mood. Low-key candlelit lighting: a single warm light source (candle, lantern or lamp) carving figures out of near-black shadow. Muted palette of soot black, bruised plum, oxblood red, tarnished brass and bone white, with one small accent of cold galvanic blue where electricity or life appears. Subtle vignette fading to black at the edges. Melancholic, unsettling, quietly beautiful rather than gory: wounds and death are suggested with restraint, never graphic. Hand-made imperfections, no digital gloss. Format: 4:3 landscape, one clear object or moment in close-up, simple dark background.</v>
      </c>
      <c r="I18" s="9" t="str">
        <f aca="false">Style!$B$4</f>
        <v>text, letters, words, captions, logos, watermark, signature, card frame, border, UI, photorealistic, 3D render, CGI, glossy, airbrushed, smooth digital painting, anime, cartoon, chibi, bright saturated colours, daylight, white background, gore, exposed organs in detail, modern clothing, modern objects</v>
      </c>
      <c r="J18" s="9" t="s">
        <v>315</v>
      </c>
      <c r="K18" s="9" t="s">
        <v>507</v>
      </c>
    </row>
  </sheetData>
  <autoFilter ref="A2:K1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30"/>
    <col collapsed="false" customWidth="true" hidden="false" outlineLevel="0" max="4" min="3" style="0" width="9"/>
    <col collapsed="false" customWidth="true" hidden="false" outlineLevel="0" max="6" min="5" style="0" width="10"/>
    <col collapsed="false" customWidth="true" hidden="false" outlineLevel="0" max="7" min="7" style="0" width="60"/>
    <col collapsed="false" customWidth="true" hidden="false" outlineLevel="0" max="8" min="8" style="0" width="50"/>
    <col collapsed="false" customWidth="true" hidden="false" outlineLevel="0" max="9" min="9" style="0" width="90"/>
    <col collapsed="false" customWidth="true" hidden="false" outlineLevel="0" max="10" min="10" style="0" width="40"/>
    <col collapsed="false" customWidth="true" hidden="false" outlineLevel="0" max="11" min="11" style="0" width="8"/>
    <col collapsed="false" customWidth="true" hidden="false" outlineLevel="0" max="12" min="12" style="0" width="18"/>
  </cols>
  <sheetData>
    <row r="1" customFormat="false" ht="15" hidden="false" customHeight="false" outlineLevel="0" collapsed="false">
      <c r="A1" s="2" t="s">
        <v>1</v>
      </c>
    </row>
    <row r="2" customFormat="false" ht="23.85" hidden="false" customHeight="false" outlineLevel="0" collapsed="false">
      <c r="A2" s="8" t="s">
        <v>44</v>
      </c>
      <c r="B2" s="8" t="s">
        <v>228</v>
      </c>
      <c r="C2" s="8" t="s">
        <v>508</v>
      </c>
      <c r="D2" s="8" t="s">
        <v>509</v>
      </c>
      <c r="E2" s="8" t="s">
        <v>510</v>
      </c>
      <c r="F2" s="8" t="s">
        <v>511</v>
      </c>
      <c r="G2" s="8" t="s">
        <v>305</v>
      </c>
      <c r="H2" s="8" t="s">
        <v>55</v>
      </c>
      <c r="I2" s="8" t="s">
        <v>56</v>
      </c>
      <c r="J2" s="8" t="s">
        <v>57</v>
      </c>
      <c r="K2" s="8" t="s">
        <v>58</v>
      </c>
      <c r="L2" s="8" t="s">
        <v>59</v>
      </c>
    </row>
    <row r="3" customFormat="false" ht="91" hidden="false" customHeight="false" outlineLevel="0" collapsed="false">
      <c r="A3" s="9" t="s">
        <v>512</v>
      </c>
      <c r="B3" s="9" t="s">
        <v>513</v>
      </c>
      <c r="C3" s="9" t="n">
        <v>1</v>
      </c>
      <c r="D3" s="9" t="n">
        <v>5</v>
      </c>
      <c r="E3" s="9"/>
      <c r="F3" s="9"/>
      <c r="G3" s="9" t="s">
        <v>514</v>
      </c>
      <c r="H3" s="9" t="s">
        <v>515</v>
      </c>
      <c r="I3" s="9" t="str">
        <f aca="false">H3&amp;". "&amp;Style!$B$2&amp;" "&amp;Style!$B$9</f>
        <v>A hospital porter pocketing coins beside a covered trolley. Dark hand-drawn coloured-pencil illustration on black-toned paper. Visible pencil strokes and cross-hatching, waxy layered colour, soft grain of the paper showing through. Gothic 1819 Paris, Mary Shelley mood. Low-key candlelit lighting: a single warm light source (candle, lantern or lamp) carving figures out of near-black shadow. Muted palette of soot black, bruised plum, oxblood red, tarnished brass and bone white, with one small accent of cold galvanic blue where electricity or life appears. Subtle vignette fading to black at the edges. Melancholic, unsettling, quietly beautiful rather than gory: wounds and death are suggested with restraint, never graphic. Hand-made imperfections, no digital gloss. Format: 4:3 landscape, one clear object or moment in close-up, simple dark background.</v>
      </c>
      <c r="J3" s="9" t="str">
        <f aca="false">Style!$B$4</f>
        <v>text, letters, words, captions, logos, watermark, signature, card frame, border, UI, photorealistic, 3D render, CGI, glossy, airbrushed, smooth digital painting, anime, cartoon, chibi, bright saturated colours, daylight, white background, gore, exposed organs in detail, modern clothing, modern objects</v>
      </c>
      <c r="K3" s="9" t="s">
        <v>315</v>
      </c>
      <c r="L3" s="9" t="s">
        <v>516</v>
      </c>
    </row>
    <row r="4" customFormat="false" ht="102.2" hidden="false" customHeight="false" outlineLevel="0" collapsed="false">
      <c r="A4" s="9" t="s">
        <v>517</v>
      </c>
      <c r="B4" s="9" t="s">
        <v>518</v>
      </c>
      <c r="C4" s="9" t="n">
        <v>1</v>
      </c>
      <c r="D4" s="9" t="n">
        <v>5</v>
      </c>
      <c r="E4" s="9" t="s">
        <v>519</v>
      </c>
      <c r="F4" s="9"/>
      <c r="G4" s="9" t="s">
        <v>520</v>
      </c>
      <c r="H4" s="9" t="s">
        <v>521</v>
      </c>
      <c r="I4" s="9" t="str">
        <f aca="false">H4&amp;". "&amp;Style!$B$2&amp;" "&amp;Style!$B$9</f>
        <v>Carcasses piled high in a slaughterhouse yard under a stormy sky with lightning. Dark hand-drawn coloured-pencil illustration on black-toned paper. Visible pencil strokes and cross-hatching, waxy layered colour, soft grain of the paper showing through. Gothic 1819 Paris, Mary Shelley mood. Low-key candlelit lighting: a single warm light source (candle, lantern or lamp) carving figures out of near-black shadow. Muted palette of soot black, bruised plum, oxblood red, tarnished brass and bone white, with one small accent of cold galvanic blue where electricity or life appears. Subtle vignette fading to black at the edges. Melancholic, unsettling, quietly beautiful rather than gory: wounds and death are suggested with restraint, never graphic. Hand-made imperfections, no digital gloss. Format: 4:3 landscape, one clear object or moment in close-up, simple dark background.</v>
      </c>
      <c r="J4" s="9" t="str">
        <f aca="false">Style!$B$4</f>
        <v>text, letters, words, captions, logos, watermark, signature, card frame, border, UI, photorealistic, 3D render, CGI, glossy, airbrushed, smooth digital painting, anime, cartoon, chibi, bright saturated colours, daylight, white background, gore, exposed organs in detail, modern clothing, modern objects</v>
      </c>
      <c r="K4" s="9" t="s">
        <v>315</v>
      </c>
      <c r="L4" s="9" t="s">
        <v>522</v>
      </c>
    </row>
    <row r="5" customFormat="false" ht="91" hidden="false" customHeight="false" outlineLevel="0" collapsed="false">
      <c r="A5" s="9" t="s">
        <v>523</v>
      </c>
      <c r="B5" s="9" t="s">
        <v>524</v>
      </c>
      <c r="C5" s="9" t="n">
        <v>1</v>
      </c>
      <c r="D5" s="9" t="n">
        <v>5</v>
      </c>
      <c r="E5" s="9"/>
      <c r="F5" s="9"/>
      <c r="G5" s="9" t="s">
        <v>525</v>
      </c>
      <c r="H5" s="9" t="s">
        <v>526</v>
      </c>
      <c r="I5" s="9" t="str">
        <f aca="false">H5&amp;". "&amp;Style!$B$2&amp;" "&amp;Style!$B$9</f>
        <v>A queue of hungry Parisians outside a shuttered bakery. Dark hand-drawn coloured-pencil illustration on black-toned paper. Visible pencil strokes and cross-hatching, waxy layered colour, soft grain of the paper showing through. Gothic 1819 Paris, Mary Shelley mood. Low-key candlelit lighting: a single warm light source (candle, lantern or lamp) carving figures out of near-black shadow. Muted palette of soot black, bruised plum, oxblood red, tarnished brass and bone white, with one small accent of cold galvanic blue where electricity or life appears. Subtle vignette fading to black at the edges. Melancholic, unsettling, quietly beautiful rather than gory: wounds and death are suggested with restraint, never graphic. Hand-made imperfections, no digital gloss. Format: 4:3 landscape, one clear object or moment in close-up, simple dark background.</v>
      </c>
      <c r="J5" s="9" t="str">
        <f aca="false">Style!$B$4</f>
        <v>text, letters, words, captions, logos, watermark, signature, card frame, border, UI, photorealistic, 3D render, CGI, glossy, airbrushed, smooth digital painting, anime, cartoon, chibi, bright saturated colours, daylight, white background, gore, exposed organs in detail, modern clothing, modern objects</v>
      </c>
      <c r="K5" s="9" t="s">
        <v>315</v>
      </c>
      <c r="L5" s="9" t="s">
        <v>527</v>
      </c>
    </row>
    <row r="6" customFormat="false" ht="91" hidden="false" customHeight="false" outlineLevel="0" collapsed="false">
      <c r="A6" s="9" t="s">
        <v>528</v>
      </c>
      <c r="B6" s="9" t="s">
        <v>529</v>
      </c>
      <c r="C6" s="9" t="n">
        <v>1</v>
      </c>
      <c r="D6" s="9" t="n">
        <v>5</v>
      </c>
      <c r="E6" s="9"/>
      <c r="F6" s="9"/>
      <c r="G6" s="9" t="s">
        <v>530</v>
      </c>
      <c r="H6" s="9" t="s">
        <v>531</v>
      </c>
      <c r="I6" s="9" t="str">
        <f aca="false">H6&amp;". "&amp;Style!$B$2&amp;" "&amp;Style!$B$9</f>
        <v>An anonymous letter unfolded on a table in candlelight. Dark hand-drawn coloured-pencil illustration on black-toned paper. Visible pencil strokes and cross-hatching, waxy layered colour, soft grain of the paper showing through. Gothic 1819 Paris, Mary Shelley mood. Low-key candlelit lighting: a single warm light source (candle, lantern or lamp) carving figures out of near-black shadow. Muted palette of soot black, bruised plum, oxblood red, tarnished brass and bone white, with one small accent of cold galvanic blue where electricity or life appears. Subtle vignette fading to black at the edges. Melancholic, unsettling, quietly beautiful rather than gory: wounds and death are suggested with restraint, never graphic. Hand-made imperfections, no digital gloss. Format: 4:3 landscape, one clear object or moment in close-up, simple dark background.</v>
      </c>
      <c r="J6" s="9" t="str">
        <f aca="false">Style!$B$4</f>
        <v>text, letters, words, captions, logos, watermark, signature, card frame, border, UI, photorealistic, 3D render, CGI, glossy, airbrushed, smooth digital painting, anime, cartoon, chibi, bright saturated colours, daylight, white background, gore, exposed organs in detail, modern clothing, modern objects</v>
      </c>
      <c r="K6" s="9" t="s">
        <v>315</v>
      </c>
      <c r="L6" s="9" t="s">
        <v>532</v>
      </c>
    </row>
    <row r="7" customFormat="false" ht="91" hidden="false" customHeight="false" outlineLevel="0" collapsed="false">
      <c r="A7" s="9" t="s">
        <v>533</v>
      </c>
      <c r="B7" s="9" t="s">
        <v>534</v>
      </c>
      <c r="C7" s="9" t="n">
        <v>1</v>
      </c>
      <c r="D7" s="9" t="n">
        <v>4</v>
      </c>
      <c r="E7" s="9" t="s">
        <v>519</v>
      </c>
      <c r="F7" s="9"/>
      <c r="G7" s="9" t="s">
        <v>535</v>
      </c>
      <c r="H7" s="9" t="s">
        <v>536</v>
      </c>
      <c r="I7" s="9" t="str">
        <f aca="false">H7&amp;". "&amp;Style!$B$2&amp;" "&amp;Style!$B$9</f>
        <v>Gendarmes with lanterns patrolling between tombstones, lightning in the sky. Dark hand-drawn coloured-pencil illustration on black-toned paper. Visible pencil strokes and cross-hatching, waxy layered colour, soft grain of the paper showing through. Gothic 1819 Paris, Mary Shelley mood. Low-key candlelit lighting: a single warm light source (candle, lantern or lamp) carving figures out of near-black shadow. Muted palette of soot black, bruised plum, oxblood red, tarnished brass and bone white, with one small accent of cold galvanic blue where electricity or life appears. Subtle vignette fading to black at the edges. Melancholic, unsettling, quietly beautiful rather than gory: wounds and death are suggested with restraint, never graphic. Hand-made imperfections, no digital gloss. Format: 4:3 landscape, one clear object or moment in close-up, simple dark background.</v>
      </c>
      <c r="J7" s="9" t="str">
        <f aca="false">Style!$B$4</f>
        <v>text, letters, words, captions, logos, watermark, signature, card frame, border, UI, photorealistic, 3D render, CGI, glossy, airbrushed, smooth digital painting, anime, cartoon, chibi, bright saturated colours, daylight, white background, gore, exposed organs in detail, modern clothing, modern objects</v>
      </c>
      <c r="K7" s="9" t="s">
        <v>315</v>
      </c>
      <c r="L7" s="9" t="s">
        <v>537</v>
      </c>
    </row>
    <row r="8" customFormat="false" ht="91" hidden="false" customHeight="false" outlineLevel="0" collapsed="false">
      <c r="A8" s="9" t="s">
        <v>538</v>
      </c>
      <c r="B8" s="9" t="s">
        <v>539</v>
      </c>
      <c r="C8" s="9" t="n">
        <v>1</v>
      </c>
      <c r="D8" s="9" t="n">
        <v>4</v>
      </c>
      <c r="E8" s="9"/>
      <c r="F8" s="9" t="s">
        <v>519</v>
      </c>
      <c r="G8" s="9" t="s">
        <v>540</v>
      </c>
      <c r="H8" s="9" t="s">
        <v>541</v>
      </c>
      <c r="I8" s="9" t="str">
        <f aca="false">H8&amp;". "&amp;Style!$B$2&amp;" "&amp;Style!$B$9</f>
        <v>The Academy library ablaze at night, books burning. Dark hand-drawn coloured-pencil illustration on black-toned paper. Visible pencil strokes and cross-hatching, waxy layered colour, soft grain of the paper showing through. Gothic 1819 Paris, Mary Shelley mood. Low-key candlelit lighting: a single warm light source (candle, lantern or lamp) carving figures out of near-black shadow. Muted palette of soot black, bruised plum, oxblood red, tarnished brass and bone white, with one small accent of cold galvanic blue where electricity or life appears. Subtle vignette fading to black at the edges. Melancholic, unsettling, quietly beautiful rather than gory: wounds and death are suggested with restraint, never graphic. Hand-made imperfections, no digital gloss. Format: 4:3 landscape, one clear object or moment in close-up, simple dark background.</v>
      </c>
      <c r="J8" s="9" t="str">
        <f aca="false">Style!$B$4</f>
        <v>text, letters, words, captions, logos, watermark, signature, card frame, border, UI, photorealistic, 3D render, CGI, glossy, airbrushed, smooth digital painting, anime, cartoon, chibi, bright saturated colours, daylight, white background, gore, exposed organs in detail, modern clothing, modern objects</v>
      </c>
      <c r="K8" s="9" t="s">
        <v>315</v>
      </c>
      <c r="L8" s="9" t="s">
        <v>542</v>
      </c>
    </row>
    <row r="9" customFormat="false" ht="91" hidden="false" customHeight="false" outlineLevel="0" collapsed="false">
      <c r="A9" s="9" t="s">
        <v>543</v>
      </c>
      <c r="B9" s="9" t="s">
        <v>544</v>
      </c>
      <c r="C9" s="9" t="n">
        <v>1</v>
      </c>
      <c r="D9" s="9" t="n">
        <v>5</v>
      </c>
      <c r="E9" s="9"/>
      <c r="F9" s="9"/>
      <c r="G9" s="9" t="s">
        <v>545</v>
      </c>
      <c r="H9" s="9" t="s">
        <v>546</v>
      </c>
      <c r="I9" s="9" t="str">
        <f aca="false">H9&amp;". "&amp;Style!$B$2&amp;" "&amp;Style!$B$9</f>
        <v>Dead cattle lying in a muddy field, flies. Dark hand-drawn coloured-pencil illustration on black-toned paper. Visible pencil strokes and cross-hatching, waxy layered colour, soft grain of the paper showing through. Gothic 1819 Paris, Mary Shelley mood. Low-key candlelit lighting: a single warm light source (candle, lantern or lamp) carving figures out of near-black shadow. Muted palette of soot black, bruised plum, oxblood red, tarnished brass and bone white, with one small accent of cold galvanic blue where electricity or life appears. Subtle vignette fading to black at the edges. Melancholic, unsettling, quietly beautiful rather than gory: wounds and death are suggested with restraint, never graphic. Hand-made imperfections, no digital gloss. Format: 4:3 landscape, one clear object or moment in close-up, simple dark background.</v>
      </c>
      <c r="J9" s="9" t="str">
        <f aca="false">Style!$B$4</f>
        <v>text, letters, words, captions, logos, watermark, signature, card frame, border, UI, photorealistic, 3D render, CGI, glossy, airbrushed, smooth digital painting, anime, cartoon, chibi, bright saturated colours, daylight, white background, gore, exposed organs in detail, modern clothing, modern objects</v>
      </c>
      <c r="K9" s="9" t="s">
        <v>315</v>
      </c>
      <c r="L9" s="9" t="s">
        <v>547</v>
      </c>
    </row>
    <row r="10" customFormat="false" ht="102.2" hidden="false" customHeight="false" outlineLevel="0" collapsed="false">
      <c r="A10" s="9" t="s">
        <v>548</v>
      </c>
      <c r="B10" s="9" t="s">
        <v>549</v>
      </c>
      <c r="C10" s="9" t="n">
        <v>1</v>
      </c>
      <c r="D10" s="9" t="n">
        <v>7</v>
      </c>
      <c r="E10" s="9" t="s">
        <v>519</v>
      </c>
      <c r="F10" s="9"/>
      <c r="G10" s="9" t="s">
        <v>550</v>
      </c>
      <c r="H10" s="9" t="s">
        <v>551</v>
      </c>
      <c r="I10" s="9" t="str">
        <f aca="false">H10&amp;". "&amp;Style!$B$2&amp;" "&amp;Style!$B$9</f>
        <v>Rows of cholera victims under sheets in a hospital ward, lightning at the windows. Dark hand-drawn coloured-pencil illustration on black-toned paper. Visible pencil strokes and cross-hatching, waxy layered colour, soft grain of the paper showing through. Gothic 1819 Paris, Mary Shelley mood. Low-key candlelit lighting: a single warm light source (candle, lantern or lamp) carving figures out of near-black shadow. Muted palette of soot black, bruised plum, oxblood red, tarnished brass and bone white, with one small accent of cold galvanic blue where electricity or life appears. Subtle vignette fading to black at the edges. Melancholic, unsettling, quietly beautiful rather than gory: wounds and death are suggested with restraint, never graphic. Hand-made imperfections, no digital gloss. Format: 4:3 landscape, one clear object or moment in close-up, simple dark background.</v>
      </c>
      <c r="J10" s="9" t="str">
        <f aca="false">Style!$B$4</f>
        <v>text, letters, words, captions, logos, watermark, signature, card frame, border, UI, photorealistic, 3D render, CGI, glossy, airbrushed, smooth digital painting, anime, cartoon, chibi, bright saturated colours, daylight, white background, gore, exposed organs in detail, modern clothing, modern objects</v>
      </c>
      <c r="K10" s="9" t="s">
        <v>315</v>
      </c>
      <c r="L10" s="9" t="s">
        <v>552</v>
      </c>
    </row>
    <row r="11" customFormat="false" ht="91" hidden="false" customHeight="false" outlineLevel="0" collapsed="false">
      <c r="A11" s="9" t="s">
        <v>553</v>
      </c>
      <c r="B11" s="9" t="s">
        <v>554</v>
      </c>
      <c r="C11" s="9" t="n">
        <v>1</v>
      </c>
      <c r="D11" s="9" t="n">
        <v>4</v>
      </c>
      <c r="E11" s="9"/>
      <c r="F11" s="9"/>
      <c r="G11" s="9" t="s">
        <v>555</v>
      </c>
      <c r="H11" s="9" t="s">
        <v>556</v>
      </c>
      <c r="I11" s="9" t="str">
        <f aca="false">H11&amp;". "&amp;Style!$B$2&amp;" "&amp;Style!$B$9</f>
        <v>Students with banners and torches outside the Academy, gendarmes waiting. Dark hand-drawn coloured-pencil illustration on black-toned paper. Visible pencil strokes and cross-hatching, waxy layered colour, soft grain of the paper showing through. Gothic 1819 Paris, Mary Shelley mood. Low-key candlelit lighting: a single warm light source (candle, lantern or lamp) carving figures out of near-black shadow. Muted palette of soot black, bruised plum, oxblood red, tarnished brass and bone white, with one small accent of cold galvanic blue where electricity or life appears. Subtle vignette fading to black at the edges. Melancholic, unsettling, quietly beautiful rather than gory: wounds and death are suggested with restraint, never graphic. Hand-made imperfections, no digital gloss. Format: 4:3 landscape, one clear object or moment in close-up, simple dark background.</v>
      </c>
      <c r="J11" s="9" t="str">
        <f aca="false">Style!$B$4</f>
        <v>text, letters, words, captions, logos, watermark, signature, card frame, border, UI, photorealistic, 3D render, CGI, glossy, airbrushed, smooth digital painting, anime, cartoon, chibi, bright saturated colours, daylight, white background, gore, exposed organs in detail, modern clothing, modern objects</v>
      </c>
      <c r="K11" s="9" t="s">
        <v>315</v>
      </c>
      <c r="L11" s="9" t="s">
        <v>557</v>
      </c>
    </row>
    <row r="12" customFormat="false" ht="102.2" hidden="false" customHeight="false" outlineLevel="0" collapsed="false">
      <c r="A12" s="9" t="s">
        <v>558</v>
      </c>
      <c r="B12" s="9" t="s">
        <v>559</v>
      </c>
      <c r="C12" s="9" t="n">
        <v>1</v>
      </c>
      <c r="D12" s="9" t="n">
        <v>5</v>
      </c>
      <c r="E12" s="9"/>
      <c r="F12" s="9" t="s">
        <v>519</v>
      </c>
      <c r="G12" s="9" t="s">
        <v>560</v>
      </c>
      <c r="H12" s="9" t="s">
        <v>561</v>
      </c>
      <c r="I12" s="9" t="str">
        <f aca="false">H12&amp;". "&amp;Style!$B$2&amp;" "&amp;Style!$B$9</f>
        <v>Citizens signing loyalty pledges under a Bourbon flag, a guillotine in the square. Dark hand-drawn coloured-pencil illustration on black-toned paper. Visible pencil strokes and cross-hatching, waxy layered colour, soft grain of the paper showing through. Gothic 1819 Paris, Mary Shelley mood. Low-key candlelit lighting: a single warm light source (candle, lantern or lamp) carving figures out of near-black shadow. Muted palette of soot black, bruised plum, oxblood red, tarnished brass and bone white, with one small accent of cold galvanic blue where electricity or life appears. Subtle vignette fading to black at the edges. Melancholic, unsettling, quietly beautiful rather than gory: wounds and death are suggested with restraint, never graphic. Hand-made imperfections, no digital gloss. Format: 4:3 landscape, one clear object or moment in close-up, simple dark background.</v>
      </c>
      <c r="J12" s="9" t="str">
        <f aca="false">Style!$B$4</f>
        <v>text, letters, words, captions, logos, watermark, signature, card frame, border, UI, photorealistic, 3D render, CGI, glossy, airbrushed, smooth digital painting, anime, cartoon, chibi, bright saturated colours, daylight, white background, gore, exposed organs in detail, modern clothing, modern objects</v>
      </c>
      <c r="K12" s="9" t="s">
        <v>315</v>
      </c>
      <c r="L12" s="9" t="s">
        <v>562</v>
      </c>
    </row>
    <row r="13" customFormat="false" ht="91" hidden="false" customHeight="false" outlineLevel="0" collapsed="false">
      <c r="A13" s="9" t="s">
        <v>563</v>
      </c>
      <c r="B13" s="9" t="s">
        <v>564</v>
      </c>
      <c r="C13" s="9" t="n">
        <v>1</v>
      </c>
      <c r="D13" s="9" t="n">
        <v>7</v>
      </c>
      <c r="E13" s="9"/>
      <c r="F13" s="9" t="s">
        <v>519</v>
      </c>
      <c r="G13" s="9" t="s">
        <v>565</v>
      </c>
      <c r="H13" s="9" t="s">
        <v>566</v>
      </c>
      <c r="I13" s="9" t="str">
        <f aca="false">H13&amp;". "&amp;Style!$B$2&amp;" "&amp;Style!$B$9</f>
        <v>Students throwing stones at a barricade, smoke and torches. Dark hand-drawn coloured-pencil illustration on black-toned paper. Visible pencil strokes and cross-hatching, waxy layered colour, soft grain of the paper showing through. Gothic 1819 Paris, Mary Shelley mood. Low-key candlelit lighting: a single warm light source (candle, lantern or lamp) carving figures out of near-black shadow. Muted palette of soot black, bruised plum, oxblood red, tarnished brass and bone white, with one small accent of cold galvanic blue where electricity or life appears. Subtle vignette fading to black at the edges. Melancholic, unsettling, quietly beautiful rather than gory: wounds and death are suggested with restraint, never graphic. Hand-made imperfections, no digital gloss. Format: 4:3 landscape, one clear object or moment in close-up, simple dark background.</v>
      </c>
      <c r="J13" s="9" t="str">
        <f aca="false">Style!$B$4</f>
        <v>text, letters, words, captions, logos, watermark, signature, card frame, border, UI, photorealistic, 3D render, CGI, glossy, airbrushed, smooth digital painting, anime, cartoon, chibi, bright saturated colours, daylight, white background, gore, exposed organs in detail, modern clothing, modern objects</v>
      </c>
      <c r="K13" s="9" t="s">
        <v>315</v>
      </c>
      <c r="L13" s="9" t="s">
        <v>567</v>
      </c>
    </row>
    <row r="14" customFormat="false" ht="102.2" hidden="false" customHeight="false" outlineLevel="0" collapsed="false">
      <c r="A14" s="9" t="s">
        <v>568</v>
      </c>
      <c r="B14" s="9" t="s">
        <v>569</v>
      </c>
      <c r="C14" s="9" t="n">
        <v>1</v>
      </c>
      <c r="D14" s="9" t="n">
        <v>7</v>
      </c>
      <c r="E14" s="9" t="s">
        <v>519</v>
      </c>
      <c r="F14" s="9"/>
      <c r="G14" s="9" t="s">
        <v>570</v>
      </c>
      <c r="H14" s="9" t="s">
        <v>571</v>
      </c>
      <c r="I14" s="9" t="str">
        <f aca="false">H14&amp;". "&amp;Style!$B$2&amp;" "&amp;Style!$B$9</f>
        <v>A dead man’s notebook with anatomical sketches, lightning outside the window. Dark hand-drawn coloured-pencil illustration on black-toned paper. Visible pencil strokes and cross-hatching, waxy layered colour, soft grain of the paper showing through. Gothic 1819 Paris, Mary Shelley mood. Low-key candlelit lighting: a single warm light source (candle, lantern or lamp) carving figures out of near-black shadow. Muted palette of soot black, bruised plum, oxblood red, tarnished brass and bone white, with one small accent of cold galvanic blue where electricity or life appears. Subtle vignette fading to black at the edges. Melancholic, unsettling, quietly beautiful rather than gory: wounds and death are suggested with restraint, never graphic. Hand-made imperfections, no digital gloss. Format: 4:3 landscape, one clear object or moment in close-up, simple dark background.</v>
      </c>
      <c r="J14" s="9" t="str">
        <f aca="false">Style!$B$4</f>
        <v>text, letters, words, captions, logos, watermark, signature, card frame, border, UI, photorealistic, 3D render, CGI, glossy, airbrushed, smooth digital painting, anime, cartoon, chibi, bright saturated colours, daylight, white background, gore, exposed organs in detail, modern clothing, modern objects</v>
      </c>
      <c r="K14" s="9" t="s">
        <v>315</v>
      </c>
      <c r="L14" s="9" t="s">
        <v>572</v>
      </c>
    </row>
    <row r="15" customFormat="false" ht="91" hidden="false" customHeight="false" outlineLevel="0" collapsed="false">
      <c r="A15" s="9" t="s">
        <v>573</v>
      </c>
      <c r="B15" s="9" t="s">
        <v>574</v>
      </c>
      <c r="C15" s="9" t="n">
        <v>1</v>
      </c>
      <c r="D15" s="9" t="n">
        <v>6</v>
      </c>
      <c r="E15" s="9"/>
      <c r="F15" s="9"/>
      <c r="G15" s="9" t="s">
        <v>575</v>
      </c>
      <c r="H15" s="9" t="s">
        <v>576</v>
      </c>
      <c r="I15" s="9" t="str">
        <f aca="false">H15&amp;". "&amp;Style!$B$2&amp;" "&amp;Style!$B$9</f>
        <v>Candles on graves on All Saints’ night, mourners in black. Dark hand-drawn coloured-pencil illustration on black-toned paper. Visible pencil strokes and cross-hatching, waxy layered colour, soft grain of the paper showing through. Gothic 1819 Paris, Mary Shelley mood. Low-key candlelit lighting: a single warm light source (candle, lantern or lamp) carving figures out of near-black shadow. Muted palette of soot black, bruised plum, oxblood red, tarnished brass and bone white, with one small accent of cold galvanic blue where electricity or life appears. Subtle vignette fading to black at the edges. Melancholic, unsettling, quietly beautiful rather than gory: wounds and death are suggested with restraint, never graphic. Hand-made imperfections, no digital gloss. Format: 4:3 landscape, one clear object or moment in close-up, simple dark background.</v>
      </c>
      <c r="J15" s="9" t="str">
        <f aca="false">Style!$B$4</f>
        <v>text, letters, words, captions, logos, watermark, signature, card frame, border, UI, photorealistic, 3D render, CGI, glossy, airbrushed, smooth digital painting, anime, cartoon, chibi, bright saturated colours, daylight, white background, gore, exposed organs in detail, modern clothing, modern objects</v>
      </c>
      <c r="K15" s="9" t="s">
        <v>315</v>
      </c>
      <c r="L15" s="9" t="s">
        <v>577</v>
      </c>
    </row>
    <row r="16" customFormat="false" ht="102.2" hidden="false" customHeight="false" outlineLevel="0" collapsed="false">
      <c r="A16" s="9" t="s">
        <v>578</v>
      </c>
      <c r="B16" s="9" t="s">
        <v>579</v>
      </c>
      <c r="C16" s="9" t="n">
        <v>1</v>
      </c>
      <c r="D16" s="9" t="n">
        <v>5</v>
      </c>
      <c r="E16" s="9"/>
      <c r="F16" s="9" t="s">
        <v>519</v>
      </c>
      <c r="G16" s="9" t="s">
        <v>580</v>
      </c>
      <c r="H16" s="9" t="s">
        <v>581</v>
      </c>
      <c r="I16" s="9" t="str">
        <f aca="false">H16&amp;". "&amp;Style!$B$2&amp;" "&amp;Style!$B$9</f>
        <v>A widow in black handing a purse to a professor, a guillotine visible through the window. Dark hand-drawn coloured-pencil illustration on black-toned paper. Visible pencil strokes and cross-hatching, waxy layered colour, soft grain of the paper showing through. Gothic 1819 Paris, Mary Shelley mood. Low-key candlelit lighting: a single warm light source (candle, lantern or lamp) carving figures out of near-black shadow. Muted palette of soot black, bruised plum, oxblood red, tarnished brass and bone white, with one small accent of cold galvanic blue where electricity or life appears. Subtle vignette fading to black at the edges. Melancholic, unsettling, quietly beautiful rather than gory: wounds and death are suggested with restraint, never graphic. Hand-made imperfections, no digital gloss. Format: 4:3 landscape, one clear object or moment in close-up, simple dark background.</v>
      </c>
      <c r="J16" s="9" t="str">
        <f aca="false">Style!$B$4</f>
        <v>text, letters, words, captions, logos, watermark, signature, card frame, border, UI, photorealistic, 3D render, CGI, glossy, airbrushed, smooth digital painting, anime, cartoon, chibi, bright saturated colours, daylight, white background, gore, exposed organs in detail, modern clothing, modern objects</v>
      </c>
      <c r="K16" s="9" t="s">
        <v>315</v>
      </c>
      <c r="L16" s="9" t="s">
        <v>582</v>
      </c>
    </row>
    <row r="17" customFormat="false" ht="91" hidden="false" customHeight="false" outlineLevel="0" collapsed="false">
      <c r="A17" s="9" t="s">
        <v>583</v>
      </c>
      <c r="B17" s="9" t="s">
        <v>584</v>
      </c>
      <c r="C17" s="9" t="n">
        <v>7</v>
      </c>
      <c r="D17" s="9" t="n">
        <v>12</v>
      </c>
      <c r="E17" s="9"/>
      <c r="F17" s="9" t="s">
        <v>519</v>
      </c>
      <c r="G17" s="9" t="s">
        <v>585</v>
      </c>
      <c r="H17" s="9" t="s">
        <v>586</v>
      </c>
      <c r="I17" s="9" t="str">
        <f aca="false">H17&amp;". "&amp;Style!$B$2&amp;" "&amp;Style!$B$9</f>
        <v>An old sea captain smashing a Leyden jar with the butt of his pistol. Dark hand-drawn coloured-pencil illustration on black-toned paper. Visible pencil strokes and cross-hatching, waxy layered colour, soft grain of the paper showing through. Gothic 1819 Paris, Mary Shelley mood. Low-key candlelit lighting: a single warm light source (candle, lantern or lamp) carving figures out of near-black shadow. Muted palette of soot black, bruised plum, oxblood red, tarnished brass and bone white, with one small accent of cold galvanic blue where electricity or life appears. Subtle vignette fading to black at the edges. Melancholic, unsettling, quietly beautiful rather than gory: wounds and death are suggested with restraint, never graphic. Hand-made imperfections, no digital gloss. Format: 4:3 landscape, one clear object or moment in close-up, simple dark background.</v>
      </c>
      <c r="J17" s="9" t="str">
        <f aca="false">Style!$B$4</f>
        <v>text, letters, words, captions, logos, watermark, signature, card frame, border, UI, photorealistic, 3D render, CGI, glossy, airbrushed, smooth digital painting, anime, cartoon, chibi, bright saturated colours, daylight, white background, gore, exposed organs in detail, modern clothing, modern objects</v>
      </c>
      <c r="K17" s="9" t="s">
        <v>315</v>
      </c>
      <c r="L17" s="9" t="s">
        <v>587</v>
      </c>
    </row>
    <row r="18" customFormat="false" ht="91" hidden="false" customHeight="false" outlineLevel="0" collapsed="false">
      <c r="A18" s="9" t="s">
        <v>588</v>
      </c>
      <c r="B18" s="9" t="s">
        <v>589</v>
      </c>
      <c r="C18" s="9" t="n">
        <v>5</v>
      </c>
      <c r="D18" s="9" t="n">
        <v>12</v>
      </c>
      <c r="E18" s="9"/>
      <c r="F18" s="9"/>
      <c r="G18" s="9" t="s">
        <v>590</v>
      </c>
      <c r="H18" s="9" t="s">
        <v>591</v>
      </c>
      <c r="I18" s="9" t="str">
        <f aca="false">H18&amp;". "&amp;Style!$B$2&amp;" "&amp;Style!$B$9</f>
        <v>The Théâtre de l’Odéon lit for opening night, carriages and a crowd. Dark hand-drawn coloured-pencil illustration on black-toned paper. Visible pencil strokes and cross-hatching, waxy layered colour, soft grain of the paper showing through. Gothic 1819 Paris, Mary Shelley mood. Low-key candlelit lighting: a single warm light source (candle, lantern or lamp) carving figures out of near-black shadow. Muted palette of soot black, bruised plum, oxblood red, tarnished brass and bone white, with one small accent of cold galvanic blue where electricity or life appears. Subtle vignette fading to black at the edges. Melancholic, unsettling, quietly beautiful rather than gory: wounds and death are suggested with restraint, never graphic. Hand-made imperfections, no digital gloss. Format: 4:3 landscape, one clear object or moment in close-up, simple dark background.</v>
      </c>
      <c r="J18" s="9" t="str">
        <f aca="false">Style!$B$4</f>
        <v>text, letters, words, captions, logos, watermark, signature, card frame, border, UI, photorealistic, 3D render, CGI, glossy, airbrushed, smooth digital painting, anime, cartoon, chibi, bright saturated colours, daylight, white background, gore, exposed organs in detail, modern clothing, modern objects</v>
      </c>
      <c r="K18" s="9" t="s">
        <v>315</v>
      </c>
      <c r="L18" s="9" t="s">
        <v>592</v>
      </c>
    </row>
    <row r="19" customFormat="false" ht="91" hidden="false" customHeight="false" outlineLevel="0" collapsed="false">
      <c r="A19" s="9" t="s">
        <v>593</v>
      </c>
      <c r="B19" s="9" t="s">
        <v>594</v>
      </c>
      <c r="C19" s="9" t="n">
        <v>7</v>
      </c>
      <c r="D19" s="9" t="n">
        <v>12</v>
      </c>
      <c r="E19" s="9"/>
      <c r="F19" s="9" t="s">
        <v>519</v>
      </c>
      <c r="G19" s="9" t="s">
        <v>595</v>
      </c>
      <c r="H19" s="9" t="s">
        <v>596</v>
      </c>
      <c r="I19" s="9" t="str">
        <f aca="false">H19&amp;". "&amp;Style!$B$2&amp;" "&amp;Style!$B$9</f>
        <v>A stitched body on a slab, its fingers beginning to curl toward a blue spark. Dark hand-drawn coloured-pencil illustration on black-toned paper. Visible pencil strokes and cross-hatching, waxy layered colour, soft grain of the paper showing through. Gothic 1819 Paris, Mary Shelley mood. Low-key candlelit lighting: a single warm light source (candle, lantern or lamp) carving figures out of near-black shadow. Muted palette of soot black, bruised plum, oxblood red, tarnished brass and bone white, with one small accent of cold galvanic blue where electricity or life appears. Subtle vignette fading to black at the edges. Melancholic, unsettling, quietly beautiful rather than gory: wounds and death are suggested with restraint, never graphic. Hand-made imperfections, no digital gloss. Format: 4:3 landscape, one clear object or moment in close-up, simple dark background.</v>
      </c>
      <c r="J19" s="9" t="str">
        <f aca="false">Style!$B$4</f>
        <v>text, letters, words, captions, logos, watermark, signature, card frame, border, UI, photorealistic, 3D render, CGI, glossy, airbrushed, smooth digital painting, anime, cartoon, chibi, bright saturated colours, daylight, white background, gore, exposed organs in detail, modern clothing, modern objects</v>
      </c>
      <c r="K19" s="9" t="s">
        <v>315</v>
      </c>
      <c r="L19" s="9" t="s">
        <v>597</v>
      </c>
    </row>
    <row r="20" customFormat="false" ht="91" hidden="false" customHeight="false" outlineLevel="0" collapsed="false">
      <c r="A20" s="9" t="s">
        <v>598</v>
      </c>
      <c r="B20" s="9" t="s">
        <v>599</v>
      </c>
      <c r="C20" s="9" t="n">
        <v>7</v>
      </c>
      <c r="D20" s="9" t="n">
        <v>12</v>
      </c>
      <c r="E20" s="9" t="s">
        <v>519</v>
      </c>
      <c r="F20" s="9"/>
      <c r="G20" s="9" t="s">
        <v>600</v>
      </c>
      <c r="H20" s="9" t="s">
        <v>601</v>
      </c>
      <c r="I20" s="9" t="str">
        <f aca="false">H20&amp;". "&amp;Style!$B$2&amp;" "&amp;Style!$B$9</f>
        <v>A storm sweeping in from the sea over the Seine, boats tossed, lightning. Dark hand-drawn coloured-pencil illustration on black-toned paper. Visible pencil strokes and cross-hatching, waxy layered colour, soft grain of the paper showing through. Gothic 1819 Paris, Mary Shelley mood. Low-key candlelit lighting: a single warm light source (candle, lantern or lamp) carving figures out of near-black shadow. Muted palette of soot black, bruised plum, oxblood red, tarnished brass and bone white, with one small accent of cold galvanic blue where electricity or life appears. Subtle vignette fading to black at the edges. Melancholic, unsettling, quietly beautiful rather than gory: wounds and death are suggested with restraint, never graphic. Hand-made imperfections, no digital gloss. Format: 4:3 landscape, one clear object or moment in close-up, simple dark background.</v>
      </c>
      <c r="J20" s="9" t="str">
        <f aca="false">Style!$B$4</f>
        <v>text, letters, words, captions, logos, watermark, signature, card frame, border, UI, photorealistic, 3D render, CGI, glossy, airbrushed, smooth digital painting, anime, cartoon, chibi, bright saturated colours, daylight, white background, gore, exposed organs in detail, modern clothing, modern objects</v>
      </c>
      <c r="K20" s="9" t="s">
        <v>315</v>
      </c>
      <c r="L20" s="9" t="s">
        <v>602</v>
      </c>
    </row>
    <row r="21" customFormat="false" ht="91" hidden="false" customHeight="false" outlineLevel="0" collapsed="false">
      <c r="A21" s="9" t="s">
        <v>603</v>
      </c>
      <c r="B21" s="9" t="s">
        <v>604</v>
      </c>
      <c r="C21" s="9" t="n">
        <v>6</v>
      </c>
      <c r="D21" s="9" t="n">
        <v>12</v>
      </c>
      <c r="E21" s="9"/>
      <c r="F21" s="9" t="s">
        <v>519</v>
      </c>
      <c r="G21" s="9" t="s">
        <v>605</v>
      </c>
      <c r="H21" s="9" t="s">
        <v>606</v>
      </c>
      <c r="I21" s="9" t="str">
        <f aca="false">H21&amp;". "&amp;Style!$B$2&amp;" "&amp;Style!$B$9</f>
        <v>Gendarmes sealing the hospital doors with a notice of inquiry. Dark hand-drawn coloured-pencil illustration on black-toned paper. Visible pencil strokes and cross-hatching, waxy layered colour, soft grain of the paper showing through. Gothic 1819 Paris, Mary Shelley mood. Low-key candlelit lighting: a single warm light source (candle, lantern or lamp) carving figures out of near-black shadow. Muted palette of soot black, bruised plum, oxblood red, tarnished brass and bone white, with one small accent of cold galvanic blue where electricity or life appears. Subtle vignette fading to black at the edges. Melancholic, unsettling, quietly beautiful rather than gory: wounds and death are suggested with restraint, never graphic. Hand-made imperfections, no digital gloss. Format: 4:3 landscape, one clear object or moment in close-up, simple dark background.</v>
      </c>
      <c r="J21" s="9" t="str">
        <f aca="false">Style!$B$4</f>
        <v>text, letters, words, captions, logos, watermark, signature, card frame, border, UI, photorealistic, 3D render, CGI, glossy, airbrushed, smooth digital painting, anime, cartoon, chibi, bright saturated colours, daylight, white background, gore, exposed organs in detail, modern clothing, modern objects</v>
      </c>
      <c r="K21" s="9" t="s">
        <v>315</v>
      </c>
      <c r="L21" s="9" t="s">
        <v>607</v>
      </c>
    </row>
  </sheetData>
  <autoFilter ref="A2:L2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15"/>
    <col collapsed="false" customWidth="true" hidden="false" outlineLevel="0" max="4" min="3" style="0" width="9"/>
    <col collapsed="false" customWidth="true" hidden="false" outlineLevel="0" max="5" min="5" style="0" width="24"/>
    <col collapsed="false" customWidth="true" hidden="false" outlineLevel="0" max="6" min="6" style="0" width="52"/>
    <col collapsed="false" customWidth="true" hidden="false" outlineLevel="0" max="7" min="7" style="0" width="30"/>
    <col collapsed="false" customWidth="true" hidden="false" outlineLevel="0" max="9" min="8" style="0" width="40"/>
    <col collapsed="false" customWidth="true" hidden="false" outlineLevel="0" max="10" min="10" style="0" width="50"/>
    <col collapsed="false" customWidth="true" hidden="false" outlineLevel="0" max="11" min="11" style="0" width="90"/>
    <col collapsed="false" customWidth="true" hidden="false" outlineLevel="0" max="12" min="12" style="0" width="40"/>
    <col collapsed="false" customWidth="true" hidden="false" outlineLevel="0" max="13" min="13" style="0" width="8"/>
    <col collapsed="false" customWidth="true" hidden="false" outlineLevel="0" max="14" min="14" style="0" width="18"/>
  </cols>
  <sheetData>
    <row r="1" customFormat="false" ht="15" hidden="false" customHeight="false" outlineLevel="0" collapsed="false">
      <c r="A1" s="2" t="s">
        <v>1</v>
      </c>
    </row>
    <row r="2" customFormat="false" ht="23.85" hidden="false" customHeight="false" outlineLevel="0" collapsed="false">
      <c r="A2" s="8" t="s">
        <v>44</v>
      </c>
      <c r="B2" s="8" t="s">
        <v>608</v>
      </c>
      <c r="C2" s="8" t="s">
        <v>508</v>
      </c>
      <c r="D2" s="8" t="s">
        <v>509</v>
      </c>
      <c r="E2" s="8" t="s">
        <v>609</v>
      </c>
      <c r="F2" s="8" t="s">
        <v>610</v>
      </c>
      <c r="G2" s="8" t="s">
        <v>611</v>
      </c>
      <c r="H2" s="8" t="s">
        <v>612</v>
      </c>
      <c r="I2" s="8" t="s">
        <v>613</v>
      </c>
      <c r="J2" s="8" t="s">
        <v>55</v>
      </c>
      <c r="K2" s="8" t="s">
        <v>56</v>
      </c>
      <c r="L2" s="8" t="s">
        <v>57</v>
      </c>
      <c r="M2" s="8" t="s">
        <v>58</v>
      </c>
      <c r="N2" s="8" t="s">
        <v>59</v>
      </c>
    </row>
    <row r="3" customFormat="false" ht="102.2" hidden="false" customHeight="false" outlineLevel="0" collapsed="false">
      <c r="A3" s="9" t="s">
        <v>614</v>
      </c>
      <c r="B3" s="9" t="s">
        <v>615</v>
      </c>
      <c r="C3" s="9" t="n">
        <v>7</v>
      </c>
      <c r="D3" s="9" t="n">
        <v>12</v>
      </c>
      <c r="E3" s="9" t="s">
        <v>616</v>
      </c>
      <c r="F3" s="9" t="s">
        <v>617</v>
      </c>
      <c r="G3" s="9" t="s">
        <v>618</v>
      </c>
      <c r="H3" s="9" t="s">
        <v>619</v>
      </c>
      <c r="I3" s="9" t="s">
        <v>620</v>
      </c>
      <c r="J3" s="9" t="s">
        <v>621</v>
      </c>
      <c r="K3" s="9" t="str">
        <f aca="false">J3&amp;". "&amp;Style!$B$2&amp;" "&amp;Style!$B$9</f>
        <v>The Creature, huge and scarred, leaning bleeding in a doorway, a hand pressed to his side. Dark hand-drawn coloured-pencil illustration on black-toned paper. Visible pencil strokes and cross-hatching, waxy layered colour, soft grain of the paper showing through. Gothic 1819 Paris, Mary Shelley mood. Low-key candlelit lighting: a single warm light source (candle, lantern or lamp) carving figures out of near-black shadow. Muted palette of soot black, bruised plum, oxblood red, tarnished brass and bone white, with one small accent of cold galvanic blue where electricity or life appears. Subtle vignette fading to black at the edges. Melancholic, unsettling, quietly beautiful rather than gory: wounds and death are suggested with restraint, never graphic. Hand-made imperfections, no digital gloss. Format: 4:3 landscape, one clear object or moment in close-up, simple dark background.</v>
      </c>
      <c r="L3" s="9" t="str">
        <f aca="false">Style!$B$4</f>
        <v>text, letters, words, captions, logos, watermark, signature, card frame, border, UI, photorealistic, 3D render, CGI, glossy, airbrushed, smooth digital painting, anime, cartoon, chibi, bright saturated colours, daylight, white background, gore, exposed organs in detail, modern clothing, modern objects</v>
      </c>
      <c r="M3" s="9" t="s">
        <v>315</v>
      </c>
      <c r="N3" s="9" t="s">
        <v>622</v>
      </c>
    </row>
    <row r="4" customFormat="false" ht="91" hidden="false" customHeight="false" outlineLevel="0" collapsed="false">
      <c r="A4" s="9" t="s">
        <v>623</v>
      </c>
      <c r="B4" s="9" t="s">
        <v>615</v>
      </c>
      <c r="C4" s="9" t="n">
        <v>7</v>
      </c>
      <c r="D4" s="9" t="n">
        <v>12</v>
      </c>
      <c r="E4" s="9" t="s">
        <v>624</v>
      </c>
      <c r="F4" s="9" t="s">
        <v>625</v>
      </c>
      <c r="G4" s="9" t="s">
        <v>626</v>
      </c>
      <c r="H4" s="9" t="s">
        <v>627</v>
      </c>
      <c r="I4" s="9"/>
      <c r="J4" s="9" t="s">
        <v>628</v>
      </c>
      <c r="K4" s="9" t="str">
        <f aca="false">J4&amp;". "&amp;Style!$B$2&amp;" "&amp;Style!$B$9</f>
        <v>The Creature in a shadowed corner of a laboratory, beckoning. Dark hand-drawn coloured-pencil illustration on black-toned paper. Visible pencil strokes and cross-hatching, waxy layered colour, soft grain of the paper showing through. Gothic 1819 Paris, Mary Shelley mood. Low-key candlelit lighting: a single warm light source (candle, lantern or lamp) carving figures out of near-black shadow. Muted palette of soot black, bruised plum, oxblood red, tarnished brass and bone white, with one small accent of cold galvanic blue where electricity or life appears. Subtle vignette fading to black at the edges. Melancholic, unsettling, quietly beautiful rather than gory: wounds and death are suggested with restraint, never graphic. Hand-made imperfections, no digital gloss. Format: 4:3 landscape, one clear object or moment in close-up, simple dark background.</v>
      </c>
      <c r="L4" s="9" t="str">
        <f aca="false">Style!$B$4</f>
        <v>text, letters, words, captions, logos, watermark, signature, card frame, border, UI, photorealistic, 3D render, CGI, glossy, airbrushed, smooth digital painting, anime, cartoon, chibi, bright saturated colours, daylight, white background, gore, exposed organs in detail, modern clothing, modern objects</v>
      </c>
      <c r="M4" s="9" t="s">
        <v>315</v>
      </c>
      <c r="N4" s="9" t="s">
        <v>629</v>
      </c>
    </row>
    <row r="5" customFormat="false" ht="91" hidden="false" customHeight="false" outlineLevel="0" collapsed="false">
      <c r="A5" s="9" t="s">
        <v>630</v>
      </c>
      <c r="B5" s="9" t="s">
        <v>631</v>
      </c>
      <c r="C5" s="9" t="n">
        <v>7</v>
      </c>
      <c r="D5" s="9" t="n">
        <v>12</v>
      </c>
      <c r="E5" s="9" t="s">
        <v>632</v>
      </c>
      <c r="F5" s="9" t="s">
        <v>633</v>
      </c>
      <c r="G5" s="9" t="s">
        <v>634</v>
      </c>
      <c r="H5" s="9" t="s">
        <v>635</v>
      </c>
      <c r="I5" s="9" t="s">
        <v>636</v>
      </c>
      <c r="J5" s="9" t="s">
        <v>637</v>
      </c>
      <c r="K5" s="9" t="str">
        <f aca="false">J5&amp;". "&amp;Style!$B$2&amp;" "&amp;Style!$B$9</f>
        <v>A boy pressing a folded note into a hand on a crowded boulevard. Dark hand-drawn coloured-pencil illustration on black-toned paper. Visible pencil strokes and cross-hatching, waxy layered colour, soft grain of the paper showing through. Gothic 1819 Paris, Mary Shelley mood. Low-key candlelit lighting: a single warm light source (candle, lantern or lamp) carving figures out of near-black shadow. Muted palette of soot black, bruised plum, oxblood red, tarnished brass and bone white, with one small accent of cold galvanic blue where electricity or life appears. Subtle vignette fading to black at the edges. Melancholic, unsettling, quietly beautiful rather than gory: wounds and death are suggested with restraint, never graphic. Hand-made imperfections, no digital gloss. Format: 4:3 landscape, one clear object or moment in close-up, simple dark background.</v>
      </c>
      <c r="L5" s="9" t="str">
        <f aca="false">Style!$B$4</f>
        <v>text, letters, words, captions, logos, watermark, signature, card frame, border, UI, photorealistic, 3D render, CGI, glossy, airbrushed, smooth digital painting, anime, cartoon, chibi, bright saturated colours, daylight, white background, gore, exposed organs in detail, modern clothing, modern objects</v>
      </c>
      <c r="M5" s="9" t="s">
        <v>315</v>
      </c>
      <c r="N5" s="9" t="s">
        <v>638</v>
      </c>
    </row>
    <row r="6" customFormat="false" ht="91" hidden="false" customHeight="false" outlineLevel="0" collapsed="false">
      <c r="A6" s="9" t="s">
        <v>639</v>
      </c>
      <c r="B6" s="9" t="s">
        <v>615</v>
      </c>
      <c r="C6" s="9" t="n">
        <v>6</v>
      </c>
      <c r="D6" s="9" t="n">
        <v>12</v>
      </c>
      <c r="E6" s="9" t="s">
        <v>640</v>
      </c>
      <c r="F6" s="9" t="s">
        <v>641</v>
      </c>
      <c r="G6" s="9" t="s">
        <v>642</v>
      </c>
      <c r="H6" s="9" t="s">
        <v>643</v>
      </c>
      <c r="I6" s="9" t="s">
        <v>644</v>
      </c>
      <c r="J6" s="9" t="s">
        <v>645</v>
      </c>
      <c r="K6" s="9" t="str">
        <f aca="false">J6&amp;". "&amp;Style!$B$2&amp;" "&amp;Style!$B$9</f>
        <v>The Creature’s silhouette in a rain-lashed window lit by lightning. Dark hand-drawn coloured-pencil illustration on black-toned paper. Visible pencil strokes and cross-hatching, waxy layered colour, soft grain of the paper showing through. Gothic 1819 Paris, Mary Shelley mood. Low-key candlelit lighting: a single warm light source (candle, lantern or lamp) carving figures out of near-black shadow. Muted palette of soot black, bruised plum, oxblood red, tarnished brass and bone white, with one small accent of cold galvanic blue where electricity or life appears. Subtle vignette fading to black at the edges. Melancholic, unsettling, quietly beautiful rather than gory: wounds and death are suggested with restraint, never graphic. Hand-made imperfections, no digital gloss. Format: 4:3 landscape, one clear object or moment in close-up, simple dark background.</v>
      </c>
      <c r="L6" s="9" t="str">
        <f aca="false">Style!$B$4</f>
        <v>text, letters, words, captions, logos, watermark, signature, card frame, border, UI, photorealistic, 3D render, CGI, glossy, airbrushed, smooth digital painting, anime, cartoon, chibi, bright saturated colours, daylight, white background, gore, exposed organs in detail, modern clothing, modern objects</v>
      </c>
      <c r="M6" s="9" t="s">
        <v>315</v>
      </c>
      <c r="N6" s="9" t="s">
        <v>646</v>
      </c>
    </row>
    <row r="7" customFormat="false" ht="91" hidden="false" customHeight="false" outlineLevel="0" collapsed="false">
      <c r="A7" s="9" t="s">
        <v>647</v>
      </c>
      <c r="B7" s="9" t="s">
        <v>615</v>
      </c>
      <c r="C7" s="9" t="n">
        <v>7</v>
      </c>
      <c r="D7" s="9" t="n">
        <v>12</v>
      </c>
      <c r="E7" s="9" t="s">
        <v>648</v>
      </c>
      <c r="F7" s="9" t="s">
        <v>649</v>
      </c>
      <c r="G7" s="9" t="s">
        <v>650</v>
      </c>
      <c r="H7" s="9" t="s">
        <v>651</v>
      </c>
      <c r="I7" s="9" t="s">
        <v>652</v>
      </c>
      <c r="J7" s="9" t="s">
        <v>653</v>
      </c>
      <c r="K7" s="9" t="str">
        <f aca="false">J7&amp;". "&amp;Style!$B$2&amp;" "&amp;Style!$B$9</f>
        <v>A sweltering laboratory, flies over a slab, the Creature fanning the air. Dark hand-drawn coloured-pencil illustration on black-toned paper. Visible pencil strokes and cross-hatching, waxy layered colour, soft grain of the paper showing through. Gothic 1819 Paris, Mary Shelley mood. Low-key candlelit lighting: a single warm light source (candle, lantern or lamp) carving figures out of near-black shadow. Muted palette of soot black, bruised plum, oxblood red, tarnished brass and bone white, with one small accent of cold galvanic blue where electricity or life appears. Subtle vignette fading to black at the edges. Melancholic, unsettling, quietly beautiful rather than gory: wounds and death are suggested with restraint, never graphic. Hand-made imperfections, no digital gloss. Format: 4:3 landscape, one clear object or moment in close-up, simple dark background.</v>
      </c>
      <c r="L7" s="9" t="str">
        <f aca="false">Style!$B$4</f>
        <v>text, letters, words, captions, logos, watermark, signature, card frame, border, UI, photorealistic, 3D render, CGI, glossy, airbrushed, smooth digital painting, anime, cartoon, chibi, bright saturated colours, daylight, white background, gore, exposed organs in detail, modern clothing, modern objects</v>
      </c>
      <c r="M7" s="9" t="s">
        <v>315</v>
      </c>
      <c r="N7" s="9" t="s">
        <v>654</v>
      </c>
    </row>
    <row r="8" customFormat="false" ht="91" hidden="false" customHeight="false" outlineLevel="0" collapsed="false">
      <c r="A8" s="9" t="s">
        <v>655</v>
      </c>
      <c r="B8" s="9" t="s">
        <v>615</v>
      </c>
      <c r="C8" s="9" t="n">
        <v>8</v>
      </c>
      <c r="D8" s="9" t="n">
        <v>12</v>
      </c>
      <c r="E8" s="9" t="s">
        <v>648</v>
      </c>
      <c r="F8" s="9" t="s">
        <v>656</v>
      </c>
      <c r="G8" s="9" t="s">
        <v>657</v>
      </c>
      <c r="H8" s="9" t="s">
        <v>658</v>
      </c>
      <c r="I8" s="9" t="s">
        <v>659</v>
      </c>
      <c r="J8" s="9" t="s">
        <v>660</v>
      </c>
      <c r="K8" s="9" t="str">
        <f aca="false">J8&amp;". "&amp;Style!$B$2&amp;" "&amp;Style!$B$9</f>
        <v>The Creature walking into a laboratory with a dripping sack. Dark hand-drawn coloured-pencil illustration on black-toned paper. Visible pencil strokes and cross-hatching, waxy layered colour, soft grain of the paper showing through. Gothic 1819 Paris, Mary Shelley mood. Low-key candlelit lighting: a single warm light source (candle, lantern or lamp) carving figures out of near-black shadow. Muted palette of soot black, bruised plum, oxblood red, tarnished brass and bone white, with one small accent of cold galvanic blue where electricity or life appears. Subtle vignette fading to black at the edges. Melancholic, unsettling, quietly beautiful rather than gory: wounds and death are suggested with restraint, never graphic. Hand-made imperfections, no digital gloss. Format: 4:3 landscape, one clear object or moment in close-up, simple dark background.</v>
      </c>
      <c r="L8" s="9" t="str">
        <f aca="false">Style!$B$4</f>
        <v>text, letters, words, captions, logos, watermark, signature, card frame, border, UI, photorealistic, 3D render, CGI, glossy, airbrushed, smooth digital painting, anime, cartoon, chibi, bright saturated colours, daylight, white background, gore, exposed organs in detail, modern clothing, modern objects</v>
      </c>
      <c r="M8" s="9" t="s">
        <v>315</v>
      </c>
      <c r="N8" s="9" t="s">
        <v>661</v>
      </c>
    </row>
    <row r="9" customFormat="false" ht="102.2" hidden="false" customHeight="false" outlineLevel="0" collapsed="false">
      <c r="A9" s="9" t="s">
        <v>662</v>
      </c>
      <c r="B9" s="9" t="s">
        <v>631</v>
      </c>
      <c r="C9" s="9" t="n">
        <v>7</v>
      </c>
      <c r="D9" s="9" t="n">
        <v>12</v>
      </c>
      <c r="E9" s="9" t="s">
        <v>648</v>
      </c>
      <c r="F9" s="9" t="s">
        <v>663</v>
      </c>
      <c r="G9" s="9" t="s">
        <v>664</v>
      </c>
      <c r="H9" s="9" t="s">
        <v>665</v>
      </c>
      <c r="I9" s="9" t="s">
        <v>666</v>
      </c>
      <c r="J9" s="9" t="s">
        <v>667</v>
      </c>
      <c r="K9" s="9" t="str">
        <f aca="false">J9&amp;". "&amp;Style!$B$2&amp;" "&amp;Style!$B$9</f>
        <v>An old sea captain bleeding from the arm, crouching behind laboratory shelves with a pistol. Dark hand-drawn coloured-pencil illustration on black-toned paper. Visible pencil strokes and cross-hatching, waxy layered colour, soft grain of the paper showing through. Gothic 1819 Paris, Mary Shelley mood. Low-key candlelit lighting: a single warm light source (candle, lantern or lamp) carving figures out of near-black shadow. Muted palette of soot black, bruised plum, oxblood red, tarnished brass and bone white, with one small accent of cold galvanic blue where electricity or life appears. Subtle vignette fading to black at the edges. Melancholic, unsettling, quietly beautiful rather than gory: wounds and death are suggested with restraint, never graphic. Hand-made imperfections, no digital gloss. Format: 4:3 landscape, one clear object or moment in close-up, simple dark background.</v>
      </c>
      <c r="L9" s="9" t="str">
        <f aca="false">Style!$B$4</f>
        <v>text, letters, words, captions, logos, watermark, signature, card frame, border, UI, photorealistic, 3D render, CGI, glossy, airbrushed, smooth digital painting, anime, cartoon, chibi, bright saturated colours, daylight, white background, gore, exposed organs in detail, modern clothing, modern objects</v>
      </c>
      <c r="M9" s="9" t="s">
        <v>315</v>
      </c>
      <c r="N9" s="9" t="s">
        <v>668</v>
      </c>
    </row>
    <row r="10" customFormat="false" ht="91" hidden="false" customHeight="false" outlineLevel="0" collapsed="false">
      <c r="A10" s="9" t="s">
        <v>669</v>
      </c>
      <c r="B10" s="9" t="s">
        <v>631</v>
      </c>
      <c r="C10" s="9" t="n">
        <v>7</v>
      </c>
      <c r="D10" s="9" t="n">
        <v>12</v>
      </c>
      <c r="E10" s="9" t="s">
        <v>670</v>
      </c>
      <c r="F10" s="9" t="s">
        <v>671</v>
      </c>
      <c r="G10" s="9" t="s">
        <v>672</v>
      </c>
      <c r="H10" s="9" t="s">
        <v>673</v>
      </c>
      <c r="I10" s="9" t="s">
        <v>674</v>
      </c>
      <c r="J10" s="9" t="s">
        <v>675</v>
      </c>
      <c r="K10" s="9" t="str">
        <f aca="false">J10&amp;". "&amp;Style!$B$2&amp;" "&amp;Style!$B$9</f>
        <v>An old sea captain confronting a scholar between tall library shelves. Dark hand-drawn coloured-pencil illustration on black-toned paper. Visible pencil strokes and cross-hatching, waxy layered colour, soft grain of the paper showing through. Gothic 1819 Paris, Mary Shelley mood. Low-key candlelit lighting: a single warm light source (candle, lantern or lamp) carving figures out of near-black shadow. Muted palette of soot black, bruised plum, oxblood red, tarnished brass and bone white, with one small accent of cold galvanic blue where electricity or life appears. Subtle vignette fading to black at the edges. Melancholic, unsettling, quietly beautiful rather than gory: wounds and death are suggested with restraint, never graphic. Hand-made imperfections, no digital gloss. Format: 4:3 landscape, one clear object or moment in close-up, simple dark background.</v>
      </c>
      <c r="L10" s="9" t="str">
        <f aca="false">Style!$B$4</f>
        <v>text, letters, words, captions, logos, watermark, signature, card frame, border, UI, photorealistic, 3D render, CGI, glossy, airbrushed, smooth digital painting, anime, cartoon, chibi, bright saturated colours, daylight, white background, gore, exposed organs in detail, modern clothing, modern objects</v>
      </c>
      <c r="M10" s="9" t="s">
        <v>315</v>
      </c>
      <c r="N10" s="9" t="s">
        <v>676</v>
      </c>
    </row>
    <row r="11" customFormat="false" ht="91" hidden="false" customHeight="false" outlineLevel="0" collapsed="false">
      <c r="A11" s="9" t="s">
        <v>677</v>
      </c>
      <c r="B11" s="9" t="s">
        <v>615</v>
      </c>
      <c r="C11" s="9" t="n">
        <v>8</v>
      </c>
      <c r="D11" s="9" t="n">
        <v>12</v>
      </c>
      <c r="E11" s="9" t="s">
        <v>678</v>
      </c>
      <c r="F11" s="9" t="s">
        <v>679</v>
      </c>
      <c r="G11" s="9" t="s">
        <v>680</v>
      </c>
      <c r="H11" s="9" t="s">
        <v>681</v>
      </c>
      <c r="I11" s="9" t="s">
        <v>682</v>
      </c>
      <c r="J11" s="9" t="s">
        <v>683</v>
      </c>
      <c r="K11" s="9" t="str">
        <f aca="false">J11&amp;". "&amp;Style!$B$2&amp;" "&amp;Style!$B$9</f>
        <v>A hospital stairwell crowded with the dying after a massacre, nurses running. Dark hand-drawn coloured-pencil illustration on black-toned paper. Visible pencil strokes and cross-hatching, waxy layered colour, soft grain of the paper showing through. Gothic 1819 Paris, Mary Shelley mood. Low-key candlelit lighting: a single warm light source (candle, lantern or lamp) carving figures out of near-black shadow. Muted palette of soot black, bruised plum, oxblood red, tarnished brass and bone white, with one small accent of cold galvanic blue where electricity or life appears. Subtle vignette fading to black at the edges. Melancholic, unsettling, quietly beautiful rather than gory: wounds and death are suggested with restraint, never graphic. Hand-made imperfections, no digital gloss. Format: 4:3 landscape, one clear object or moment in close-up, simple dark background.</v>
      </c>
      <c r="L11" s="9" t="str">
        <f aca="false">Style!$B$4</f>
        <v>text, letters, words, captions, logos, watermark, signature, card frame, border, UI, photorealistic, 3D render, CGI, glossy, airbrushed, smooth digital painting, anime, cartoon, chibi, bright saturated colours, daylight, white background, gore, exposed organs in detail, modern clothing, modern objects</v>
      </c>
      <c r="M11" s="9" t="s">
        <v>315</v>
      </c>
      <c r="N11" s="9" t="s">
        <v>684</v>
      </c>
    </row>
    <row r="12" customFormat="false" ht="91" hidden="false" customHeight="false" outlineLevel="0" collapsed="false">
      <c r="A12" s="9" t="s">
        <v>685</v>
      </c>
      <c r="B12" s="9" t="s">
        <v>686</v>
      </c>
      <c r="C12" s="9" t="n">
        <v>6</v>
      </c>
      <c r="D12" s="9" t="n">
        <v>12</v>
      </c>
      <c r="E12" s="9" t="s">
        <v>687</v>
      </c>
      <c r="F12" s="9" t="s">
        <v>688</v>
      </c>
      <c r="G12" s="9" t="s">
        <v>689</v>
      </c>
      <c r="H12" s="9" t="s">
        <v>690</v>
      </c>
      <c r="I12" s="9" t="s">
        <v>691</v>
      </c>
      <c r="J12" s="9" t="s">
        <v>692</v>
      </c>
      <c r="K12" s="9" t="str">
        <f aca="false">J12&amp;". "&amp;Style!$B$2&amp;" "&amp;Style!$B$9</f>
        <v>A woman in a dark hood stepping out of river fog by the quay. Dark hand-drawn coloured-pencil illustration on black-toned paper. Visible pencil strokes and cross-hatching, waxy layered colour, soft grain of the paper showing through. Gothic 1819 Paris, Mary Shelley mood. Low-key candlelit lighting: a single warm light source (candle, lantern or lamp) carving figures out of near-black shadow. Muted palette of soot black, bruised plum, oxblood red, tarnished brass and bone white, with one small accent of cold galvanic blue where electricity or life appears. Subtle vignette fading to black at the edges. Melancholic, unsettling, quietly beautiful rather than gory: wounds and death are suggested with restraint, never graphic. Hand-made imperfections, no digital gloss. Format: 4:3 landscape, one clear object or moment in close-up, simple dark background.</v>
      </c>
      <c r="L12" s="9" t="str">
        <f aca="false">Style!$B$4</f>
        <v>text, letters, words, captions, logos, watermark, signature, card frame, border, UI, photorealistic, 3D render, CGI, glossy, airbrushed, smooth digital painting, anime, cartoon, chibi, bright saturated colours, daylight, white background, gore, exposed organs in detail, modern clothing, modern objects</v>
      </c>
      <c r="M12" s="9" t="s">
        <v>315</v>
      </c>
      <c r="N12" s="9" t="s">
        <v>693</v>
      </c>
    </row>
    <row r="13" customFormat="false" ht="91" hidden="false" customHeight="false" outlineLevel="0" collapsed="false">
      <c r="A13" s="9" t="s">
        <v>694</v>
      </c>
      <c r="B13" s="9" t="s">
        <v>615</v>
      </c>
      <c r="C13" s="9" t="n">
        <v>5</v>
      </c>
      <c r="D13" s="9" t="n">
        <v>12</v>
      </c>
      <c r="E13" s="9" t="s">
        <v>695</v>
      </c>
      <c r="F13" s="9" t="s">
        <v>696</v>
      </c>
      <c r="G13" s="9" t="s">
        <v>697</v>
      </c>
      <c r="H13" s="9" t="s">
        <v>698</v>
      </c>
      <c r="I13" s="9" t="s">
        <v>699</v>
      </c>
      <c r="J13" s="9" t="s">
        <v>700</v>
      </c>
      <c r="K13" s="9" t="str">
        <f aca="false">J13&amp;". "&amp;Style!$B$2&amp;" "&amp;Style!$B$9</f>
        <v>The Creature sitting quietly in the corner of a laboratory, watching. Dark hand-drawn coloured-pencil illustration on black-toned paper. Visible pencil strokes and cross-hatching, waxy layered colour, soft grain of the paper showing through. Gothic 1819 Paris, Mary Shelley mood. Low-key candlelit lighting: a single warm light source (candle, lantern or lamp) carving figures out of near-black shadow. Muted palette of soot black, bruised plum, oxblood red, tarnished brass and bone white, with one small accent of cold galvanic blue where electricity or life appears. Subtle vignette fading to black at the edges. Melancholic, unsettling, quietly beautiful rather than gory: wounds and death are suggested with restraint, never graphic. Hand-made imperfections, no digital gloss. Format: 4:3 landscape, one clear object or moment in close-up, simple dark background.</v>
      </c>
      <c r="L13" s="9" t="str">
        <f aca="false">Style!$B$4</f>
        <v>text, letters, words, captions, logos, watermark, signature, card frame, border, UI, photorealistic, 3D render, CGI, glossy, airbrushed, smooth digital painting, anime, cartoon, chibi, bright saturated colours, daylight, white background, gore, exposed organs in detail, modern clothing, modern objects</v>
      </c>
      <c r="M13" s="9" t="s">
        <v>315</v>
      </c>
      <c r="N13" s="9" t="s">
        <v>701</v>
      </c>
    </row>
    <row r="14" customFormat="false" ht="91" hidden="false" customHeight="false" outlineLevel="0" collapsed="false">
      <c r="A14" s="9" t="s">
        <v>702</v>
      </c>
      <c r="B14" s="9" t="s">
        <v>631</v>
      </c>
      <c r="C14" s="9" t="n">
        <v>7</v>
      </c>
      <c r="D14" s="9" t="n">
        <v>12</v>
      </c>
      <c r="E14" s="9" t="s">
        <v>703</v>
      </c>
      <c r="F14" s="9" t="s">
        <v>704</v>
      </c>
      <c r="G14" s="9" t="s">
        <v>705</v>
      </c>
      <c r="H14" s="9" t="s">
        <v>706</v>
      </c>
      <c r="I14" s="9" t="s">
        <v>707</v>
      </c>
      <c r="J14" s="9" t="s">
        <v>708</v>
      </c>
      <c r="K14" s="9" t="str">
        <f aca="false">J14&amp;". "&amp;Style!$B$2&amp;" "&amp;Style!$B$9</f>
        <v>An old sea captain sitting by a bed at night with a pistol across his lap. Dark hand-drawn coloured-pencil illustration on black-toned paper. Visible pencil strokes and cross-hatching, waxy layered colour, soft grain of the paper showing through. Gothic 1819 Paris, Mary Shelley mood. Low-key candlelit lighting: a single warm light source (candle, lantern or lamp) carving figures out of near-black shadow. Muted palette of soot black, bruised plum, oxblood red, tarnished brass and bone white, with one small accent of cold galvanic blue where electricity or life appears. Subtle vignette fading to black at the edges. Melancholic, unsettling, quietly beautiful rather than gory: wounds and death are suggested with restraint, never graphic. Hand-made imperfections, no digital gloss. Format: 4:3 landscape, one clear object or moment in close-up, simple dark background.</v>
      </c>
      <c r="L14" s="9" t="str">
        <f aca="false">Style!$B$4</f>
        <v>text, letters, words, captions, logos, watermark, signature, card frame, border, UI, photorealistic, 3D render, CGI, glossy, airbrushed, smooth digital painting, anime, cartoon, chibi, bright saturated colours, daylight, white background, gore, exposed organs in detail, modern clothing, modern objects</v>
      </c>
      <c r="M14" s="9" t="s">
        <v>315</v>
      </c>
      <c r="N14" s="9" t="s">
        <v>709</v>
      </c>
    </row>
    <row r="15" customFormat="false" ht="91" hidden="false" customHeight="false" outlineLevel="0" collapsed="false">
      <c r="A15" s="9" t="s">
        <v>710</v>
      </c>
      <c r="B15" s="9" t="s">
        <v>615</v>
      </c>
      <c r="C15" s="9" t="n">
        <v>6</v>
      </c>
      <c r="D15" s="9" t="n">
        <v>12</v>
      </c>
      <c r="E15" s="9" t="s">
        <v>648</v>
      </c>
      <c r="F15" s="9" t="s">
        <v>711</v>
      </c>
      <c r="G15" s="9" t="s">
        <v>712</v>
      </c>
      <c r="H15" s="9" t="s">
        <v>713</v>
      </c>
      <c r="I15" s="9" t="s">
        <v>714</v>
      </c>
      <c r="J15" s="9" t="s">
        <v>715</v>
      </c>
      <c r="K15" s="9" t="str">
        <f aca="false">J15&amp;". "&amp;Style!$B$2&amp;" "&amp;Style!$B$9</f>
        <v>The Creature hurling a book that bursts into a cloud of pages. Dark hand-drawn coloured-pencil illustration on black-toned paper. Visible pencil strokes and cross-hatching, waxy layered colour, soft grain of the paper showing through. Gothic 1819 Paris, Mary Shelley mood. Low-key candlelit lighting: a single warm light source (candle, lantern or lamp) carving figures out of near-black shadow. Muted palette of soot black, bruised plum, oxblood red, tarnished brass and bone white, with one small accent of cold galvanic blue where electricity or life appears. Subtle vignette fading to black at the edges. Melancholic, unsettling, quietly beautiful rather than gory: wounds and death are suggested with restraint, never graphic. Hand-made imperfections, no digital gloss. Format: 4:3 landscape, one clear object or moment in close-up, simple dark background.</v>
      </c>
      <c r="L15" s="9" t="str">
        <f aca="false">Style!$B$4</f>
        <v>text, letters, words, captions, logos, watermark, signature, card frame, border, UI, photorealistic, 3D render, CGI, glossy, airbrushed, smooth digital painting, anime, cartoon, chibi, bright saturated colours, daylight, white background, gore, exposed organs in detail, modern clothing, modern objects</v>
      </c>
      <c r="M15" s="9" t="s">
        <v>315</v>
      </c>
      <c r="N15" s="9" t="s">
        <v>716</v>
      </c>
    </row>
    <row r="16" customFormat="false" ht="91" hidden="false" customHeight="false" outlineLevel="0" collapsed="false">
      <c r="A16" s="9" t="s">
        <v>717</v>
      </c>
      <c r="B16" s="9" t="s">
        <v>615</v>
      </c>
      <c r="C16" s="9" t="n">
        <v>7</v>
      </c>
      <c r="D16" s="9" t="n">
        <v>12</v>
      </c>
      <c r="E16" s="9" t="s">
        <v>718</v>
      </c>
      <c r="F16" s="9" t="s">
        <v>719</v>
      </c>
      <c r="G16" s="9" t="s">
        <v>720</v>
      </c>
      <c r="H16" s="9" t="s">
        <v>721</v>
      </c>
      <c r="I16" s="9" t="s">
        <v>722</v>
      </c>
      <c r="J16" s="9" t="s">
        <v>723</v>
      </c>
      <c r="K16" s="9" t="str">
        <f aca="false">J16&amp;". "&amp;Style!$B$2&amp;" "&amp;Style!$B$9</f>
        <v>The Creature holding out a heavy burlap bag that moves. Dark hand-drawn coloured-pencil illustration on black-toned paper. Visible pencil strokes and cross-hatching, waxy layered colour, soft grain of the paper showing through. Gothic 1819 Paris, Mary Shelley mood. Low-key candlelit lighting: a single warm light source (candle, lantern or lamp) carving figures out of near-black shadow. Muted palette of soot black, bruised plum, oxblood red, tarnished brass and bone white, with one small accent of cold galvanic blue where electricity or life appears. Subtle vignette fading to black at the edges. Melancholic, unsettling, quietly beautiful rather than gory: wounds and death are suggested with restraint, never graphic. Hand-made imperfections, no digital gloss. Format: 4:3 landscape, one clear object or moment in close-up, simple dark background.</v>
      </c>
      <c r="L16" s="9" t="str">
        <f aca="false">Style!$B$4</f>
        <v>text, letters, words, captions, logos, watermark, signature, card frame, border, UI, photorealistic, 3D render, CGI, glossy, airbrushed, smooth digital painting, anime, cartoon, chibi, bright saturated colours, daylight, white background, gore, exposed organs in detail, modern clothing, modern objects</v>
      </c>
      <c r="M16" s="9" t="s">
        <v>315</v>
      </c>
      <c r="N16" s="9" t="s">
        <v>724</v>
      </c>
    </row>
    <row r="17" customFormat="false" ht="102.2" hidden="false" customHeight="false" outlineLevel="0" collapsed="false">
      <c r="A17" s="9" t="s">
        <v>725</v>
      </c>
      <c r="B17" s="9" t="s">
        <v>615</v>
      </c>
      <c r="C17" s="9" t="n">
        <v>1</v>
      </c>
      <c r="D17" s="9" t="n">
        <v>5</v>
      </c>
      <c r="E17" s="9" t="s">
        <v>726</v>
      </c>
      <c r="F17" s="9" t="s">
        <v>727</v>
      </c>
      <c r="G17" s="9" t="s">
        <v>728</v>
      </c>
      <c r="H17" s="9" t="s">
        <v>729</v>
      </c>
      <c r="I17" s="9" t="s">
        <v>730</v>
      </c>
      <c r="J17" s="9" t="s">
        <v>731</v>
      </c>
      <c r="K17" s="9" t="str">
        <f aca="false">J17&amp;". "&amp;Style!$B$2&amp;" "&amp;Style!$B$9</f>
        <v>An open grave at night with three pale fresh bodies, eyes watching from the dark. Dark hand-drawn coloured-pencil illustration on black-toned paper. Visible pencil strokes and cross-hatching, waxy layered colour, soft grain of the paper showing through. Gothic 1819 Paris, Mary Shelley mood. Low-key candlelit lighting: a single warm light source (candle, lantern or lamp) carving figures out of near-black shadow. Muted palette of soot black, bruised plum, oxblood red, tarnished brass and bone white, with one small accent of cold galvanic blue where electricity or life appears. Subtle vignette fading to black at the edges. Melancholic, unsettling, quietly beautiful rather than gory: wounds and death are suggested with restraint, never graphic. Hand-made imperfections, no digital gloss. Format: 4:3 landscape, one clear object or moment in close-up, simple dark background.</v>
      </c>
      <c r="L17" s="9" t="str">
        <f aca="false">Style!$B$4</f>
        <v>text, letters, words, captions, logos, watermark, signature, card frame, border, UI, photorealistic, 3D render, CGI, glossy, airbrushed, smooth digital painting, anime, cartoon, chibi, bright saturated colours, daylight, white background, gore, exposed organs in detail, modern clothing, modern objects</v>
      </c>
      <c r="M17" s="9" t="s">
        <v>315</v>
      </c>
      <c r="N17" s="9" t="s">
        <v>732</v>
      </c>
    </row>
  </sheetData>
  <autoFilter ref="A2:N1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6"/>
    <col collapsed="false" customWidth="true" hidden="false" outlineLevel="0" max="3" min="3" style="0" width="60"/>
    <col collapsed="false" customWidth="true" hidden="false" outlineLevel="0" max="4" min="4" style="0" width="50"/>
    <col collapsed="false" customWidth="true" hidden="false" outlineLevel="0" max="5" min="5" style="0" width="90"/>
    <col collapsed="false" customWidth="true" hidden="false" outlineLevel="0" max="6" min="6" style="0" width="40"/>
    <col collapsed="false" customWidth="true" hidden="false" outlineLevel="0" max="7" min="7" style="0" width="8"/>
    <col collapsed="false" customWidth="true" hidden="false" outlineLevel="0" max="8" min="8" style="0" width="18"/>
  </cols>
  <sheetData>
    <row r="1" customFormat="false" ht="15" hidden="false" customHeight="false" outlineLevel="0" collapsed="false">
      <c r="A1" s="2" t="s">
        <v>1</v>
      </c>
    </row>
    <row r="2" customFormat="false" ht="15" hidden="false" customHeight="false" outlineLevel="0" collapsed="false">
      <c r="A2" s="8" t="s">
        <v>733</v>
      </c>
      <c r="B2" s="8" t="s">
        <v>228</v>
      </c>
      <c r="C2" s="8" t="s">
        <v>734</v>
      </c>
      <c r="D2" s="8" t="s">
        <v>55</v>
      </c>
      <c r="E2" s="8" t="s">
        <v>56</v>
      </c>
      <c r="F2" s="8" t="s">
        <v>57</v>
      </c>
      <c r="G2" s="8" t="s">
        <v>58</v>
      </c>
      <c r="H2" s="8" t="s">
        <v>59</v>
      </c>
    </row>
    <row r="3" customFormat="false" ht="102.2" hidden="false" customHeight="false" outlineLevel="0" collapsed="false">
      <c r="A3" s="9" t="s">
        <v>735</v>
      </c>
      <c r="B3" s="9" t="s">
        <v>736</v>
      </c>
      <c r="C3" s="9" t="s">
        <v>737</v>
      </c>
      <c r="D3" s="9" t="s">
        <v>738</v>
      </c>
      <c r="E3" s="9" t="str">
        <f aca="false">D3&amp;". "&amp;Style!$B$2&amp;" "&amp;Style!$B$6</f>
        <v>Lucien Vautrin, a polished young man with a neat moustache and a cruel calm smile, a carnation in his lapel, bloodstain on his cuff, alive, eyes open, a living person. Dark hand-drawn coloured-pencil illustration on black-toned paper. Visible pencil strokes and cross-hatching, waxy layered colour, soft grain of the paper showing through. Gothic 1819 Paris, Mary Shelley mood. Low-key candlelit lighting: a single warm light source (candle, lantern or lamp) carving figures out of near-black shadow. Muted palette of soot black, bruised plum, oxblood red, tarnished brass and bone white, with one small accent of cold galvanic blue where electricity or life appears. Subtle vignette fading to black at the edges. Melancholic, unsettling, quietly beautiful rather than gory: wounds and death are suggested with restraint, never graphic. Hand-made imperfections, no digital gloss. Format: 2:3 portrait, head and shoulders, centred, lower 20% dark and simple.</v>
      </c>
      <c r="F3" s="9" t="str">
        <f aca="false">Style!$B$4</f>
        <v>text, letters, words, captions, logos, watermark, signature, card frame, border, UI, photorealistic, 3D render, CGI, glossy, airbrushed, smooth digital painting, anime, cartoon, chibi, bright saturated colours, daylight, white background, gore, exposed organs in detail, modern clothing, modern objects</v>
      </c>
      <c r="G3" s="9" t="s">
        <v>64</v>
      </c>
      <c r="H3" s="9" t="s">
        <v>739</v>
      </c>
    </row>
    <row r="4" customFormat="false" ht="102.2" hidden="false" customHeight="false" outlineLevel="0" collapsed="false">
      <c r="A4" s="9" t="s">
        <v>740</v>
      </c>
      <c r="B4" s="9" t="s">
        <v>741</v>
      </c>
      <c r="C4" s="9" t="s">
        <v>742</v>
      </c>
      <c r="D4" s="9" t="s">
        <v>743</v>
      </c>
      <c r="E4" s="9" t="str">
        <f aca="false">D4&amp;". "&amp;Style!$B$2&amp;" "&amp;Style!$B$6</f>
        <v>Sir Bartholomew Pike, a weathered English naturalist in a top hat and travelling coat, an eel in a jar under his arm, alive, eyes open, a living person. Dark hand-drawn coloured-pencil illustration on black-toned paper. Visible pencil strokes and cross-hatching, waxy layered colour, soft grain of the paper showing through. Gothic 1819 Paris, Mary Shelley mood. Low-key candlelit lighting: a single warm light source (candle, lantern or lamp) carving figures out of near-black shadow. Muted palette of soot black, bruised plum, oxblood red, tarnished brass and bone white, with one small accent of cold galvanic blue where electricity or life appears. Subtle vignette fading to black at the edges. Melancholic, unsettling, quietly beautiful rather than gory: wounds and death are suggested with restraint, never graphic. Hand-made imperfections, no digital gloss. Format: 2:3 portrait, head and shoulders, centred, lower 20% dark and simple.</v>
      </c>
      <c r="F4" s="9" t="str">
        <f aca="false">Style!$B$4</f>
        <v>text, letters, words, captions, logos, watermark, signature, card frame, border, UI, photorealistic, 3D render, CGI, glossy, airbrushed, smooth digital painting, anime, cartoon, chibi, bright saturated colours, daylight, white background, gore, exposed organs in detail, modern clothing, modern objects</v>
      </c>
      <c r="G4" s="9" t="s">
        <v>64</v>
      </c>
      <c r="H4" s="9" t="s">
        <v>744</v>
      </c>
    </row>
    <row r="5" customFormat="false" ht="102.2" hidden="false" customHeight="false" outlineLevel="0" collapsed="false">
      <c r="A5" s="9" t="s">
        <v>745</v>
      </c>
      <c r="B5" s="9" t="s">
        <v>746</v>
      </c>
      <c r="C5" s="9" t="s">
        <v>747</v>
      </c>
      <c r="D5" s="9" t="s">
        <v>748</v>
      </c>
      <c r="E5" s="9" t="str">
        <f aca="false">D5&amp;". "&amp;Style!$B$2&amp;" "&amp;Style!$B$6</f>
        <v>Count Achille Duval, a theatrical aristocrat in a top hat and fur collar, rings on every finger, alive, eyes open, a living person. Dark hand-drawn coloured-pencil illustration on black-toned paper. Visible pencil strokes and cross-hatching, waxy layered colour, soft grain of the paper showing through. Gothic 1819 Paris, Mary Shelley mood. Low-key candlelit lighting: a single warm light source (candle, lantern or lamp) carving figures out of near-black shadow. Muted palette of soot black, bruised plum, oxblood red, tarnished brass and bone white, with one small accent of cold galvanic blue where electricity or life appears. Subtle vignette fading to black at the edges. Melancholic, unsettling, quietly beautiful rather than gory: wounds and death are suggested with restraint, never graphic. Hand-made imperfections, no digital gloss. Format: 2:3 portrait, head and shoulders, centred, lower 20% dark and simple.</v>
      </c>
      <c r="F5" s="9" t="str">
        <f aca="false">Style!$B$4</f>
        <v>text, letters, words, captions, logos, watermark, signature, card frame, border, UI, photorealistic, 3D render, CGI, glossy, airbrushed, smooth digital painting, anime, cartoon, chibi, bright saturated colours, daylight, white background, gore, exposed organs in detail, modern clothing, modern objects</v>
      </c>
      <c r="G5" s="9" t="s">
        <v>64</v>
      </c>
      <c r="H5" s="9" t="s">
        <v>749</v>
      </c>
    </row>
    <row r="6" customFormat="false" ht="102.2" hidden="false" customHeight="false" outlineLevel="0" collapsed="false">
      <c r="A6" s="9" t="s">
        <v>750</v>
      </c>
      <c r="B6" s="9" t="s">
        <v>751</v>
      </c>
      <c r="C6" s="9" t="s">
        <v>752</v>
      </c>
      <c r="D6" s="9" t="s">
        <v>753</v>
      </c>
      <c r="E6" s="9" t="str">
        <f aca="false">D6&amp;". "&amp;Style!$B$2&amp;" "&amp;Style!$B$6</f>
        <v>Amara Okafor, a calm West African physician in a dark dress with a doctor’s bag, warm steady gaze, alive, eyes open, a living person. Dark hand-drawn coloured-pencil illustration on black-toned paper. Visible pencil strokes and cross-hatching, waxy layered colour, soft grain of the paper showing through. Gothic 1819 Paris, Mary Shelley mood. Low-key candlelit lighting: a single warm light source (candle, lantern or lamp) carving figures out of near-black shadow. Muted palette of soot black, bruised plum, oxblood red, tarnished brass and bone white, with one small accent of cold galvanic blue where electricity or life appears. Subtle vignette fading to black at the edges. Melancholic, unsettling, quietly beautiful rather than gory: wounds and death are suggested with restraint, never graphic. Hand-made imperfections, no digital gloss. Format: 2:3 portrait, head and shoulders, centred, lower 20% dark and simple.</v>
      </c>
      <c r="F6" s="9" t="str">
        <f aca="false">Style!$B$4</f>
        <v>text, letters, words, captions, logos, watermark, signature, card frame, border, UI, photorealistic, 3D render, CGI, glossy, airbrushed, smooth digital painting, anime, cartoon, chibi, bright saturated colours, daylight, white background, gore, exposed organs in detail, modern clothing, modern objects</v>
      </c>
      <c r="G6" s="9" t="s">
        <v>64</v>
      </c>
      <c r="H6" s="9" t="s">
        <v>754</v>
      </c>
    </row>
    <row r="7" customFormat="false" ht="102.2" hidden="false" customHeight="false" outlineLevel="0" collapsed="false">
      <c r="A7" s="9" t="s">
        <v>755</v>
      </c>
      <c r="B7" s="9" t="s">
        <v>756</v>
      </c>
      <c r="C7" s="9" t="s">
        <v>757</v>
      </c>
      <c r="D7" s="9" t="s">
        <v>758</v>
      </c>
      <c r="E7" s="9" t="str">
        <f aca="false">D7&amp;". "&amp;Style!$B$2&amp;" "&amp;Style!$B$6</f>
        <v>Lucrezia Fontana, a young Italian heiress in a wide-brimmed hat and pearls, an open anatomy book in her hands, alive, eyes open, a living person. Dark hand-drawn coloured-pencil illustration on black-toned paper. Visible pencil strokes and cross-hatching, waxy layered colour, soft grain of the paper showing through. Gothic 1819 Paris, Mary Shelley mood. Low-key candlelit lighting: a single warm light source (candle, lantern or lamp) carving figures out of near-black shadow. Muted palette of soot black, bruised plum, oxblood red, tarnished brass and bone white, with one small accent of cold galvanic blue where electricity or life appears. Subtle vignette fading to black at the edges. Melancholic, unsettling, quietly beautiful rather than gory: wounds and death are suggested with restraint, never graphic. Hand-made imperfections, no digital gloss. Format: 2:3 portrait, head and shoulders, centred, lower 20% dark and simple.</v>
      </c>
      <c r="F7" s="9" t="str">
        <f aca="false">Style!$B$4</f>
        <v>text, letters, words, captions, logos, watermark, signature, card frame, border, UI, photorealistic, 3D render, CGI, glossy, airbrushed, smooth digital painting, anime, cartoon, chibi, bright saturated colours, daylight, white background, gore, exposed organs in detail, modern clothing, modern objects</v>
      </c>
      <c r="G7" s="9" t="s">
        <v>64</v>
      </c>
      <c r="H7" s="9" t="s">
        <v>759</v>
      </c>
    </row>
    <row r="8" customFormat="false" ht="102.2" hidden="false" customHeight="false" outlineLevel="0" collapsed="false">
      <c r="A8" s="9" t="s">
        <v>760</v>
      </c>
      <c r="B8" s="9" t="s">
        <v>761</v>
      </c>
      <c r="C8" s="9" t="s">
        <v>762</v>
      </c>
      <c r="D8" s="9" t="s">
        <v>763</v>
      </c>
      <c r="E8" s="9" t="str">
        <f aca="false">D8&amp;". "&amp;Style!$B$2&amp;" "&amp;Style!$B$6</f>
        <v>Dr Hélène Marchand, a severe French surgeon in a blood-flecked leather apron, scalpel in hand, alive, eyes open, a living person. Dark hand-drawn coloured-pencil illustration on black-toned paper. Visible pencil strokes and cross-hatching, waxy layered colour, soft grain of the paper showing through. Gothic 1819 Paris, Mary Shelley mood. Low-key candlelit lighting: a single warm light source (candle, lantern or lamp) carving figures out of near-black shadow. Muted palette of soot black, bruised plum, oxblood red, tarnished brass and bone white, with one small accent of cold galvanic blue where electricity or life appears. Subtle vignette fading to black at the edges. Melancholic, unsettling, quietly beautiful rather than gory: wounds and death are suggested with restraint, never graphic. Hand-made imperfections, no digital gloss. Format: 2:3 portrait, head and shoulders, centred, lower 20% dark and simple.</v>
      </c>
      <c r="F8" s="9" t="str">
        <f aca="false">Style!$B$4</f>
        <v>text, letters, words, captions, logos, watermark, signature, card frame, border, UI, photorealistic, 3D render, CGI, glossy, airbrushed, smooth digital painting, anime, cartoon, chibi, bright saturated colours, daylight, white background, gore, exposed organs in detail, modern clothing, modern objects</v>
      </c>
      <c r="G8" s="9" t="s">
        <v>64</v>
      </c>
      <c r="H8" s="9" t="s">
        <v>764</v>
      </c>
    </row>
  </sheetData>
  <autoFilter ref="A2:H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1"/>
    <col collapsed="false" customWidth="true" hidden="false" outlineLevel="0" max="3" min="3" style="0" width="20"/>
    <col collapsed="false" customWidth="true" hidden="false" outlineLevel="0" max="4" min="4" style="0" width="60"/>
    <col collapsed="false" customWidth="true" hidden="false" outlineLevel="0" max="5" min="5" style="0" width="90"/>
    <col collapsed="false" customWidth="true" hidden="false" outlineLevel="0" max="6" min="6" style="0" width="40"/>
    <col collapsed="false" customWidth="true" hidden="false" outlineLevel="0" max="7" min="7" style="0" width="8"/>
    <col collapsed="false" customWidth="true" hidden="false" outlineLevel="0" max="8" min="8" style="0" width="18"/>
  </cols>
  <sheetData>
    <row r="1" customFormat="false" ht="15" hidden="false" customHeight="false" outlineLevel="0" collapsed="false">
      <c r="A1" s="2" t="s">
        <v>765</v>
      </c>
    </row>
    <row r="2" customFormat="false" ht="15" hidden="false" customHeight="false" outlineLevel="0" collapsed="false">
      <c r="A2" s="8" t="s">
        <v>228</v>
      </c>
      <c r="B2" s="8" t="s">
        <v>766</v>
      </c>
      <c r="C2" s="8" t="s">
        <v>767</v>
      </c>
      <c r="D2" s="8" t="s">
        <v>55</v>
      </c>
      <c r="E2" s="8" t="s">
        <v>56</v>
      </c>
      <c r="F2" s="8" t="s">
        <v>57</v>
      </c>
      <c r="G2" s="8" t="s">
        <v>58</v>
      </c>
      <c r="H2" s="8" t="s">
        <v>59</v>
      </c>
    </row>
    <row r="3" customFormat="false" ht="102.2" hidden="false" customHeight="false" outlineLevel="0" collapsed="false">
      <c r="A3" s="9" t="s">
        <v>61</v>
      </c>
      <c r="B3" s="9" t="s">
        <v>768</v>
      </c>
      <c r="C3" s="9" t="s">
        <v>769</v>
      </c>
      <c r="D3" s="9" t="s">
        <v>770</v>
      </c>
      <c r="E3" s="9" t="str">
        <f aca="false">D3&amp;". "&amp;Style!$B$2&amp;" "&amp;Style!$B$8</f>
        <v>The Cemetery of Père Lachaise at night: leaning tombstones, a stone cross, a bare tree, a half-dug grave with a spade in the earth, a lantern on the ground. Dark hand-drawn coloured-pencil illustration on black-toned paper. Visible pencil strokes and cross-hatching, waxy layered colour, soft grain of the paper showing through. Gothic 1819 Paris, Mary Shelley mood. Low-key candlelit lighting: a single warm light source (candle, lantern or lamp) carving figures out of near-black shadow. Muted palette of soot black, bruised plum, oxblood red, tarnished brass and bone white, with one small accent of cold galvanic blue where electricity or life appears. Subtle vignette fading to black at the edges. Melancholic, unsettling, quietly beautiful rather than gory: wounds and death are suggested with restraint, never graphic. Hand-made imperfections, no digital gloss. Format: 16:9 landscape, wide establishing view of the place at night, small figures at most.</v>
      </c>
      <c r="F3" s="9" t="str">
        <f aca="false">Style!$B$4</f>
        <v>text, letters, words, captions, logos, watermark, signature, card frame, border, UI, photorealistic, 3D render, CGI, glossy, airbrushed, smooth digital painting, anime, cartoon, chibi, bright saturated colours, daylight, white background, gore, exposed organs in detail, modern clothing, modern objects</v>
      </c>
      <c r="G3" s="9" t="s">
        <v>771</v>
      </c>
      <c r="H3" s="9" t="s">
        <v>772</v>
      </c>
    </row>
    <row r="4" customFormat="false" ht="102.2" hidden="false" customHeight="false" outlineLevel="0" collapsed="false">
      <c r="A4" s="9" t="s">
        <v>197</v>
      </c>
      <c r="B4" s="9" t="s">
        <v>768</v>
      </c>
      <c r="C4" s="9" t="s">
        <v>773</v>
      </c>
      <c r="D4" s="9" t="s">
        <v>774</v>
      </c>
      <c r="E4" s="9" t="str">
        <f aca="false">D4&amp;". "&amp;Style!$B$2&amp;" "&amp;Style!$B$8</f>
        <v>The Place de Grève at night after an execution: the guillotine on its scaffold, the Hôtel de Ville behind, a dispersing crowd. Dark hand-drawn coloured-pencil illustration on black-toned paper. Visible pencil strokes and cross-hatching, waxy layered colour, soft grain of the paper showing through. Gothic 1819 Paris, Mary Shelley mood. Low-key candlelit lighting: a single warm light source (candle, lantern or lamp) carving figures out of near-black shadow. Muted palette of soot black, bruised plum, oxblood red, tarnished brass and bone white, with one small accent of cold galvanic blue where electricity or life appears. Subtle vignette fading to black at the edges. Melancholic, unsettling, quietly beautiful rather than gory: wounds and death are suggested with restraint, never graphic. Hand-made imperfections, no digital gloss. Format: 16:9 landscape, wide establishing view of the place at night, small figures at most.</v>
      </c>
      <c r="F4" s="9" t="str">
        <f aca="false">Style!$B$4</f>
        <v>text, letters, words, captions, logos, watermark, signature, card frame, border, UI, photorealistic, 3D render, CGI, glossy, airbrushed, smooth digital painting, anime, cartoon, chibi, bright saturated colours, daylight, white background, gore, exposed organs in detail, modern clothing, modern objects</v>
      </c>
      <c r="G4" s="9" t="s">
        <v>771</v>
      </c>
      <c r="H4" s="9" t="s">
        <v>775</v>
      </c>
    </row>
    <row r="5" customFormat="false" ht="102.2" hidden="false" customHeight="false" outlineLevel="0" collapsed="false">
      <c r="A5" s="9" t="s">
        <v>154</v>
      </c>
      <c r="B5" s="9" t="s">
        <v>768</v>
      </c>
      <c r="C5" s="9" t="s">
        <v>776</v>
      </c>
      <c r="D5" s="9" t="s">
        <v>777</v>
      </c>
      <c r="E5" s="9" t="str">
        <f aca="false">D5&amp;". "&amp;Style!$B$2&amp;" "&amp;Style!$B$8</f>
        <v>The Paris Morgue: bodies on stone slabs under sheets, an arched window, a hanging lantern, a keeper with a ledger. Dark hand-drawn coloured-pencil illustration on black-toned paper. Visible pencil strokes and cross-hatching, waxy layered colour, soft grain of the paper showing through. Gothic 1819 Paris, Mary Shelley mood. Low-key candlelit lighting: a single warm light source (candle, lantern or lamp) carving figures out of near-black shadow. Muted palette of soot black, bruised plum, oxblood red, tarnished brass and bone white, with one small accent of cold galvanic blue where electricity or life appears. Subtle vignette fading to black at the edges. Melancholic, unsettling, quietly beautiful rather than gory: wounds and death are suggested with restraint, never graphic. Hand-made imperfections, no digital gloss. Format: 16:9 landscape, wide establishing view of the place at night, small figures at most.</v>
      </c>
      <c r="F5" s="9" t="str">
        <f aca="false">Style!$B$4</f>
        <v>text, letters, words, captions, logos, watermark, signature, card frame, border, UI, photorealistic, 3D render, CGI, glossy, airbrushed, smooth digital painting, anime, cartoon, chibi, bright saturated colours, daylight, white background, gore, exposed organs in detail, modern clothing, modern objects</v>
      </c>
      <c r="G5" s="9" t="s">
        <v>771</v>
      </c>
      <c r="H5" s="9" t="s">
        <v>778</v>
      </c>
    </row>
    <row r="6" customFormat="false" ht="102.2" hidden="false" customHeight="false" outlineLevel="0" collapsed="false">
      <c r="A6" s="9" t="s">
        <v>779</v>
      </c>
      <c r="B6" s="9" t="s">
        <v>768</v>
      </c>
      <c r="C6" s="9" t="s">
        <v>780</v>
      </c>
      <c r="D6" s="9" t="s">
        <v>781</v>
      </c>
      <c r="E6" s="9" t="str">
        <f aca="false">D6&amp;". "&amp;Style!$B$2&amp;" "&amp;Style!$B$8</f>
        <v>The Montmartre slaughterhouse: carcasses on hooks, a blood-dark floor drain, a butcher sharpening a cleaver. Dark hand-drawn coloured-pencil illustration on black-toned paper. Visible pencil strokes and cross-hatching, waxy layered colour, soft grain of the paper showing through. Gothic 1819 Paris, Mary Shelley mood. Low-key candlelit lighting: a single warm light source (candle, lantern or lamp) carving figures out of near-black shadow. Muted palette of soot black, bruised plum, oxblood red, tarnished brass and bone white, with one small accent of cold galvanic blue where electricity or life appears. Subtle vignette fading to black at the edges. Melancholic, unsettling, quietly beautiful rather than gory: wounds and death are suggested with restraint, never graphic. Hand-made imperfections, no digital gloss. Format: 16:9 landscape, wide establishing view of the place at night, small figures at most.</v>
      </c>
      <c r="F6" s="9" t="str">
        <f aca="false">Style!$B$4</f>
        <v>text, letters, words, captions, logos, watermark, signature, card frame, border, UI, photorealistic, 3D render, CGI, glossy, airbrushed, smooth digital painting, anime, cartoon, chibi, bright saturated colours, daylight, white background, gore, exposed organs in detail, modern clothing, modern objects</v>
      </c>
      <c r="G6" s="9" t="s">
        <v>771</v>
      </c>
      <c r="H6" s="9" t="s">
        <v>782</v>
      </c>
    </row>
    <row r="7" customFormat="false" ht="102.2" hidden="false" customHeight="false" outlineLevel="0" collapsed="false">
      <c r="A7" s="9" t="s">
        <v>109</v>
      </c>
      <c r="B7" s="9" t="s">
        <v>768</v>
      </c>
      <c r="C7" s="9" t="s">
        <v>783</v>
      </c>
      <c r="D7" s="9" t="s">
        <v>784</v>
      </c>
      <c r="E7" s="9" t="str">
        <f aca="false">D7&amp;". "&amp;Style!$B$2&amp;" "&amp;Style!$B$8</f>
        <v>The Hôpital de la Charité at night: a long ward of beds, sisters in white cornettes, a porter with a covered trolley. Dark hand-drawn coloured-pencil illustration on black-toned paper. Visible pencil strokes and cross-hatching, waxy layered colour, soft grain of the paper showing through. Gothic 1819 Paris, Mary Shelley mood. Low-key candlelit lighting: a single warm light source (candle, lantern or lamp) carving figures out of near-black shadow. Muted palette of soot black, bruised plum, oxblood red, tarnished brass and bone white, with one small accent of cold galvanic blue where electricity or life appears. Subtle vignette fading to black at the edges. Melancholic, unsettling, quietly beautiful rather than gory: wounds and death are suggested with restraint, never graphic. Hand-made imperfections, no digital gloss. Format: 16:9 landscape, wide establishing view of the place at night, small figures at most.</v>
      </c>
      <c r="F7" s="9" t="str">
        <f aca="false">Style!$B$4</f>
        <v>text, letters, words, captions, logos, watermark, signature, card frame, border, UI, photorealistic, 3D render, CGI, glossy, airbrushed, smooth digital painting, anime, cartoon, chibi, bright saturated colours, daylight, white background, gore, exposed organs in detail, modern clothing, modern objects</v>
      </c>
      <c r="G7" s="9" t="s">
        <v>771</v>
      </c>
      <c r="H7" s="9" t="s">
        <v>785</v>
      </c>
    </row>
    <row r="8" customFormat="false" ht="102.2" hidden="false" customHeight="false" outlineLevel="0" collapsed="false">
      <c r="A8" s="9" t="s">
        <v>786</v>
      </c>
      <c r="B8" s="9" t="s">
        <v>768</v>
      </c>
      <c r="C8" s="9" t="s">
        <v>787</v>
      </c>
      <c r="D8" s="9" t="s">
        <v>788</v>
      </c>
      <c r="E8" s="9" t="str">
        <f aca="false">D8&amp;". "&amp;Style!$B$2&amp;" "&amp;Style!$B$8</f>
        <v>The domed Institut de France on the Seine at night, lit windows, a scholar on the steps. Dark hand-drawn coloured-pencil illustration on black-toned paper. Visible pencil strokes and cross-hatching, waxy layered colour, soft grain of the paper showing through. Gothic 1819 Paris, Mary Shelley mood. Low-key candlelit lighting: a single warm light source (candle, lantern or lamp) carving figures out of near-black shadow. Muted palette of soot black, bruised plum, oxblood red, tarnished brass and bone white, with one small accent of cold galvanic blue where electricity or life appears. Subtle vignette fading to black at the edges. Melancholic, unsettling, quietly beautiful rather than gory: wounds and death are suggested with restraint, never graphic. Hand-made imperfections, no digital gloss. Format: 16:9 landscape, wide establishing view of the place at night, small figures at most.</v>
      </c>
      <c r="F8" s="9" t="str">
        <f aca="false">Style!$B$4</f>
        <v>text, letters, words, captions, logos, watermark, signature, card frame, border, UI, photorealistic, 3D render, CGI, glossy, airbrushed, smooth digital painting, anime, cartoon, chibi, bright saturated colours, daylight, white background, gore, exposed organs in detail, modern clothing, modern objects</v>
      </c>
      <c r="G8" s="9" t="s">
        <v>771</v>
      </c>
      <c r="H8" s="9" t="s">
        <v>789</v>
      </c>
    </row>
    <row r="9" customFormat="false" ht="102.2" hidden="false" customHeight="false" outlineLevel="0" collapsed="false">
      <c r="A9" s="9" t="s">
        <v>790</v>
      </c>
      <c r="B9" s="9" t="s">
        <v>768</v>
      </c>
      <c r="C9" s="9" t="s">
        <v>791</v>
      </c>
      <c r="D9" s="9" t="s">
        <v>792</v>
      </c>
      <c r="E9" s="9" t="str">
        <f aca="false">D9&amp;". "&amp;Style!$B$2&amp;" "&amp;Style!$B$8</f>
        <v>Les Halles market at night: ice carts, fish stalls, an instrument maker’s stall with Leyden jars. Dark hand-drawn coloured-pencil illustration on black-toned paper. Visible pencil strokes and cross-hatching, waxy layered colour, soft grain of the paper showing through. Gothic 1819 Paris, Mary Shelley mood. Low-key candlelit lighting: a single warm light source (candle, lantern or lamp) carving figures out of near-black shadow. Muted palette of soot black, bruised plum, oxblood red, tarnished brass and bone white, with one small accent of cold galvanic blue where electricity or life appears. Subtle vignette fading to black at the edges. Melancholic, unsettling, quietly beautiful rather than gory: wounds and death are suggested with restraint, never graphic. Hand-made imperfections, no digital gloss. Format: 16:9 landscape, wide establishing view of the place at night, small figures at most.</v>
      </c>
      <c r="F9" s="9" t="str">
        <f aca="false">Style!$B$4</f>
        <v>text, letters, words, captions, logos, watermark, signature, card frame, border, UI, photorealistic, 3D render, CGI, glossy, airbrushed, smooth digital painting, anime, cartoon, chibi, bright saturated colours, daylight, white background, gore, exposed organs in detail, modern clothing, modern objects</v>
      </c>
      <c r="G9" s="9" t="s">
        <v>771</v>
      </c>
      <c r="H9" s="9" t="s">
        <v>793</v>
      </c>
    </row>
    <row r="10" customFormat="false" ht="102.2" hidden="false" customHeight="false" outlineLevel="0" collapsed="false">
      <c r="A10" s="9" t="s">
        <v>794</v>
      </c>
      <c r="B10" s="9" t="s">
        <v>768</v>
      </c>
      <c r="C10" s="9" t="s">
        <v>795</v>
      </c>
      <c r="D10" s="9" t="s">
        <v>796</v>
      </c>
      <c r="E10" s="9" t="str">
        <f aca="false">D10&amp;". "&amp;Style!$B$2&amp;" "&amp;Style!$B$8</f>
        <v>Port Saint-Nicolas on the Seine at night: moored barges, crates, a lantern on a post, figures in the fog. Dark hand-drawn coloured-pencil illustration on black-toned paper. Visible pencil strokes and cross-hatching, waxy layered colour, soft grain of the paper showing through. Gothic 1819 Paris, Mary Shelley mood. Low-key candlelit lighting: a single warm light source (candle, lantern or lamp) carving figures out of near-black shadow. Muted palette of soot black, bruised plum, oxblood red, tarnished brass and bone white, with one small accent of cold galvanic blue where electricity or life appears. Subtle vignette fading to black at the edges. Melancholic, unsettling, quietly beautiful rather than gory: wounds and death are suggested with restraint, never graphic. Hand-made imperfections, no digital gloss. Format: 16:9 landscape, wide establishing view of the place at night, small figures at most.</v>
      </c>
      <c r="F10" s="9" t="str">
        <f aca="false">Style!$B$4</f>
        <v>text, letters, words, captions, logos, watermark, signature, card frame, border, UI, photorealistic, 3D render, CGI, glossy, airbrushed, smooth digital painting, anime, cartoon, chibi, bright saturated colours, daylight, white background, gore, exposed organs in detail, modern clothing, modern objects</v>
      </c>
      <c r="G10" s="9" t="s">
        <v>771</v>
      </c>
      <c r="H10" s="9" t="s">
        <v>797</v>
      </c>
    </row>
    <row r="11" customFormat="false" ht="102.2" hidden="false" customHeight="false" outlineLevel="0" collapsed="false">
      <c r="A11" s="9" t="s">
        <v>798</v>
      </c>
      <c r="B11" s="9" t="s">
        <v>768</v>
      </c>
      <c r="C11" s="9" t="s">
        <v>799</v>
      </c>
      <c r="D11" s="9" t="s">
        <v>800</v>
      </c>
      <c r="E11" s="9" t="str">
        <f aca="false">D11&amp;". "&amp;Style!$B$2&amp;" "&amp;Style!$B$8</f>
        <v>A narrow alley in the Faubourg Saint-Marcel: a single wall lamp, a cloaked figure, a body in a doorway. Dark hand-drawn coloured-pencil illustration on black-toned paper. Visible pencil strokes and cross-hatching, waxy layered colour, soft grain of the paper showing through. Gothic 1819 Paris, Mary Shelley mood. Low-key candlelit lighting: a single warm light source (candle, lantern or lamp) carving figures out of near-black shadow. Muted palette of soot black, bruised plum, oxblood red, tarnished brass and bone white, with one small accent of cold galvanic blue where electricity or life appears. Subtle vignette fading to black at the edges. Melancholic, unsettling, quietly beautiful rather than gory: wounds and death are suggested with restraint, never graphic. Hand-made imperfections, no digital gloss. Format: 16:9 landscape, wide establishing view of the place at night, small figures at most.</v>
      </c>
      <c r="F11" s="9" t="str">
        <f aca="false">Style!$B$4</f>
        <v>text, letters, words, captions, logos, watermark, signature, card frame, border, UI, photorealistic, 3D render, CGI, glossy, airbrushed, smooth digital painting, anime, cartoon, chibi, bright saturated colours, daylight, white background, gore, exposed organs in detail, modern clothing, modern objects</v>
      </c>
      <c r="G11" s="9" t="s">
        <v>771</v>
      </c>
      <c r="H11" s="9" t="s">
        <v>801</v>
      </c>
    </row>
    <row r="12" customFormat="false" ht="102.2" hidden="false" customHeight="false" outlineLevel="0" collapsed="false">
      <c r="A12" s="9" t="s">
        <v>802</v>
      </c>
      <c r="B12" s="9" t="s">
        <v>768</v>
      </c>
      <c r="C12" s="9" t="s">
        <v>803</v>
      </c>
      <c r="D12" s="9" t="s">
        <v>804</v>
      </c>
      <c r="E12" s="9" t="str">
        <f aca="false">D12&amp;". "&amp;Style!$B$2&amp;" "&amp;Style!$B$8</f>
        <v>The church of Saint-Roch on the Rue Saint-Honoré at night, candles glowing through the open doors. Dark hand-drawn coloured-pencil illustration on black-toned paper. Visible pencil strokes and cross-hatching, waxy layered colour, soft grain of the paper showing through. Gothic 1819 Paris, Mary Shelley mood. Low-key candlelit lighting: a single warm light source (candle, lantern or lamp) carving figures out of near-black shadow. Muted palette of soot black, bruised plum, oxblood red, tarnished brass and bone white, with one small accent of cold galvanic blue where electricity or life appears. Subtle vignette fading to black at the edges. Melancholic, unsettling, quietly beautiful rather than gory: wounds and death are suggested with restraint, never graphic. Hand-made imperfections, no digital gloss. Format: 16:9 landscape, wide establishing view of the place at night, small figures at most.</v>
      </c>
      <c r="F12" s="9" t="str">
        <f aca="false">Style!$B$4</f>
        <v>text, letters, words, captions, logos, watermark, signature, card frame, border, UI, photorealistic, 3D render, CGI, glossy, airbrushed, smooth digital painting, anime, cartoon, chibi, bright saturated colours, daylight, white background, gore, exposed organs in detail, modern clothing, modern objects</v>
      </c>
      <c r="G12" s="9" t="s">
        <v>771</v>
      </c>
      <c r="H12" s="9" t="s">
        <v>805</v>
      </c>
    </row>
    <row r="13" customFormat="false" ht="102.2" hidden="false" customHeight="false" outlineLevel="0" collapsed="false">
      <c r="A13" s="9" t="s">
        <v>806</v>
      </c>
      <c r="B13" s="9" t="s">
        <v>768</v>
      </c>
      <c r="C13" s="9" t="s">
        <v>807</v>
      </c>
      <c r="D13" s="9" t="s">
        <v>808</v>
      </c>
      <c r="E13" s="9" t="str">
        <f aca="false">D13&amp;". "&amp;Style!$B$2&amp;" "&amp;Style!$B$8</f>
        <v>The square before Notre-Dame at night, the Creature’s hulking silhouette at the foot of the towers. Dark hand-drawn coloured-pencil illustration on black-toned paper. Visible pencil strokes and cross-hatching, waxy layered colour, soft grain of the paper showing through. Gothic 1819 Paris, Mary Shelley mood. Low-key candlelit lighting: a single warm light source (candle, lantern or lamp) carving figures out of near-black shadow. Muted palette of soot black, bruised plum, oxblood red, tarnished brass and bone white, with one small accent of cold galvanic blue where electricity or life appears. Subtle vignette fading to black at the edges. Melancholic, unsettling, quietly beautiful rather than gory: wounds and death are suggested with restraint, never graphic. Hand-made imperfections, no digital gloss. Format: 16:9 landscape, wide establishing view of the place at night, small figures at most.</v>
      </c>
      <c r="F13" s="9" t="str">
        <f aca="false">Style!$B$4</f>
        <v>text, letters, words, captions, logos, watermark, signature, card frame, border, UI, photorealistic, 3D render, CGI, glossy, airbrushed, smooth digital painting, anime, cartoon, chibi, bright saturated colours, daylight, white background, gore, exposed organs in detail, modern clothing, modern objects</v>
      </c>
      <c r="G13" s="9" t="s">
        <v>771</v>
      </c>
      <c r="H13" s="9" t="s">
        <v>809</v>
      </c>
    </row>
    <row r="14" customFormat="false" ht="102.2" hidden="false" customHeight="false" outlineLevel="0" collapsed="false">
      <c r="A14" s="9" t="s">
        <v>810</v>
      </c>
      <c r="B14" s="9" t="s">
        <v>768</v>
      </c>
      <c r="C14" s="9" t="s">
        <v>811</v>
      </c>
      <c r="D14" s="9" t="s">
        <v>812</v>
      </c>
      <c r="E14" s="9" t="str">
        <f aca="false">D14&amp;". "&amp;Style!$B$2&amp;" "&amp;Style!$B$8</f>
        <v>The Théâtre de l’Odéon lit for opening night, columns, carriages and an elegant crowd. Dark hand-drawn coloured-pencil illustration on black-toned paper. Visible pencil strokes and cross-hatching, waxy layered colour, soft grain of the paper showing through. Gothic 1819 Paris, Mary Shelley mood. Low-key candlelit lighting: a single warm light source (candle, lantern or lamp) carving figures out of near-black shadow. Muted palette of soot black, bruised plum, oxblood red, tarnished brass and bone white, with one small accent of cold galvanic blue where electricity or life appears. Subtle vignette fading to black at the edges. Melancholic, unsettling, quietly beautiful rather than gory: wounds and death are suggested with restraint, never graphic. Hand-made imperfections, no digital gloss. Format: 16:9 landscape, wide establishing view of the place at night, small figures at most.</v>
      </c>
      <c r="F14" s="9" t="str">
        <f aca="false">Style!$B$4</f>
        <v>text, letters, words, captions, logos, watermark, signature, card frame, border, UI, photorealistic, 3D render, CGI, glossy, airbrushed, smooth digital painting, anime, cartoon, chibi, bright saturated colours, daylight, white background, gore, exposed organs in detail, modern clothing, modern objects</v>
      </c>
      <c r="G14" s="9" t="s">
        <v>771</v>
      </c>
      <c r="H14" s="9" t="s">
        <v>813</v>
      </c>
    </row>
    <row r="15" customFormat="false" ht="91" hidden="false" customHeight="false" outlineLevel="0" collapsed="false">
      <c r="A15" s="9" t="s">
        <v>814</v>
      </c>
      <c r="B15" s="9" t="s">
        <v>815</v>
      </c>
      <c r="C15" s="9"/>
      <c r="D15" s="9" t="s">
        <v>816</v>
      </c>
      <c r="E15" s="9" t="str">
        <f aca="false">D15&amp;". "&amp;Style!$B$2&amp;" "&amp;Style!$B$8</f>
        <v>An anatomy book open beside a skull and calipers on a laboratory bench. Dark hand-drawn coloured-pencil illustration on black-toned paper. Visible pencil strokes and cross-hatching, waxy layered colour, soft grain of the paper showing through. Gothic 1819 Paris, Mary Shelley mood. Low-key candlelit lighting: a single warm light source (candle, lantern or lamp) carving figures out of near-black shadow. Muted palette of soot black, bruised plum, oxblood red, tarnished brass and bone white, with one small accent of cold galvanic blue where electricity or life appears. Subtle vignette fading to black at the edges. Melancholic, unsettling, quietly beautiful rather than gory: wounds and death are suggested with restraint, never graphic. Hand-made imperfections, no digital gloss. Format: 16:9 landscape, wide establishing view of the place at night, small figures at most.</v>
      </c>
      <c r="F15" s="9" t="str">
        <f aca="false">Style!$B$4</f>
        <v>text, letters, words, captions, logos, watermark, signature, card frame, border, UI, photorealistic, 3D render, CGI, glossy, airbrushed, smooth digital painting, anime, cartoon, chibi, bright saturated colours, daylight, white background, gore, exposed organs in detail, modern clothing, modern objects</v>
      </c>
      <c r="G15" s="9" t="s">
        <v>771</v>
      </c>
      <c r="H15" s="9" t="s">
        <v>817</v>
      </c>
    </row>
    <row r="16" customFormat="false" ht="91" hidden="false" customHeight="false" outlineLevel="0" collapsed="false">
      <c r="A16" s="9" t="s">
        <v>818</v>
      </c>
      <c r="B16" s="9" t="s">
        <v>815</v>
      </c>
      <c r="C16" s="9"/>
      <c r="D16" s="9" t="s">
        <v>819</v>
      </c>
      <c r="E16" s="9" t="str">
        <f aca="false">D16&amp;". "&amp;Style!$B$2&amp;" "&amp;Style!$B$8</f>
        <v>A lancet in a forearm, blood running into a pewter bowl. Dark hand-drawn coloured-pencil illustration on black-toned paper. Visible pencil strokes and cross-hatching, waxy layered colour, soft grain of the paper showing through. Gothic 1819 Paris, Mary Shelley mood. Low-key candlelit lighting: a single warm light source (candle, lantern or lamp) carving figures out of near-black shadow. Muted palette of soot black, bruised plum, oxblood red, tarnished brass and bone white, with one small accent of cold galvanic blue where electricity or life appears. Subtle vignette fading to black at the edges. Melancholic, unsettling, quietly beautiful rather than gory: wounds and death are suggested with restraint, never graphic. Hand-made imperfections, no digital gloss. Format: 16:9 landscape, wide establishing view of the place at night, small figures at most.</v>
      </c>
      <c r="F16" s="9" t="str">
        <f aca="false">Style!$B$4</f>
        <v>text, letters, words, captions, logos, watermark, signature, card frame, border, UI, photorealistic, 3D render, CGI, glossy, airbrushed, smooth digital painting, anime, cartoon, chibi, bright saturated colours, daylight, white background, gore, exposed organs in detail, modern clothing, modern objects</v>
      </c>
      <c r="G16" s="9" t="s">
        <v>771</v>
      </c>
      <c r="H16" s="9" t="s">
        <v>820</v>
      </c>
    </row>
    <row r="17" customFormat="false" ht="91" hidden="false" customHeight="false" outlineLevel="0" collapsed="false">
      <c r="A17" s="9" t="s">
        <v>821</v>
      </c>
      <c r="B17" s="9" t="s">
        <v>815</v>
      </c>
      <c r="C17" s="9"/>
      <c r="D17" s="9" t="s">
        <v>822</v>
      </c>
      <c r="E17" s="9" t="str">
        <f aca="false">D17&amp;". "&amp;Style!$B$2&amp;" "&amp;Style!$B$8</f>
        <v>Curved needles and catgut stitching a torn limb on the operating table. Dark hand-drawn coloured-pencil illustration on black-toned paper. Visible pencil strokes and cross-hatching, waxy layered colour, soft grain of the paper showing through. Gothic 1819 Paris, Mary Shelley mood. Low-key candlelit lighting: a single warm light source (candle, lantern or lamp) carving figures out of near-black shadow. Muted palette of soot black, bruised plum, oxblood red, tarnished brass and bone white, with one small accent of cold galvanic blue where electricity or life appears. Subtle vignette fading to black at the edges. Melancholic, unsettling, quietly beautiful rather than gory: wounds and death are suggested with restraint, never graphic. Hand-made imperfections, no digital gloss. Format: 16:9 landscape, wide establishing view of the place at night, small figures at most.</v>
      </c>
      <c r="F17" s="9" t="str">
        <f aca="false">Style!$B$4</f>
        <v>text, letters, words, captions, logos, watermark, signature, card frame, border, UI, photorealistic, 3D render, CGI, glossy, airbrushed, smooth digital painting, anime, cartoon, chibi, bright saturated colours, daylight, white background, gore, exposed organs in detail, modern clothing, modern objects</v>
      </c>
      <c r="G17" s="9" t="s">
        <v>771</v>
      </c>
      <c r="H17" s="9" t="s">
        <v>823</v>
      </c>
    </row>
    <row r="18" customFormat="false" ht="102.2" hidden="false" customHeight="false" outlineLevel="0" collapsed="false">
      <c r="A18" s="9" t="s">
        <v>824</v>
      </c>
      <c r="B18" s="9" t="s">
        <v>815</v>
      </c>
      <c r="C18" s="9"/>
      <c r="D18" s="9" t="s">
        <v>825</v>
      </c>
      <c r="E18" s="9" t="str">
        <f aca="false">D18&amp;". "&amp;Style!$B$2&amp;" "&amp;Style!$B$8</f>
        <v>Two Leyden jars on a bench crackling with blue electricity from a turning static generator. Dark hand-drawn coloured-pencil illustration on black-toned paper. Visible pencil strokes and cross-hatching, waxy layered colour, soft grain of the paper showing through. Gothic 1819 Paris, Mary Shelley mood. Low-key candlelit lighting: a single warm light source (candle, lantern or lamp) carving figures out of near-black shadow. Muted palette of soot black, bruised plum, oxblood red, tarnished brass and bone white, with one small accent of cold galvanic blue where electricity or life appears. Subtle vignette fading to black at the edges. Melancholic, unsettling, quietly beautiful rather than gory: wounds and death are suggested with restraint, never graphic. Hand-made imperfections, no digital gloss. Format: 16:9 landscape, wide establishing view of the place at night, small figures at most.</v>
      </c>
      <c r="F18" s="9" t="str">
        <f aca="false">Style!$B$4</f>
        <v>text, letters, words, captions, logos, watermark, signature, card frame, border, UI, photorealistic, 3D render, CGI, glossy, airbrushed, smooth digital painting, anime, cartoon, chibi, bright saturated colours, daylight, white background, gore, exposed organs in detail, modern clothing, modern objects</v>
      </c>
      <c r="G18" s="9" t="s">
        <v>771</v>
      </c>
      <c r="H18" s="9" t="s">
        <v>826</v>
      </c>
    </row>
  </sheetData>
  <autoFilter ref="A2:H1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7"/>
    <col collapsed="false" customWidth="true" hidden="false" outlineLevel="0" max="3" min="3" style="0" width="10"/>
    <col collapsed="false" customWidth="true" hidden="false" outlineLevel="0" max="20" min="4" style="0" width="9"/>
  </cols>
  <sheetData>
    <row r="1" customFormat="false" ht="15" hidden="false" customHeight="false" outlineLevel="0" collapsed="false">
      <c r="A1" s="2" t="s">
        <v>827</v>
      </c>
    </row>
    <row r="2" customFormat="false" ht="46.25" hidden="false" customHeight="false" outlineLevel="0" collapsed="false">
      <c r="A2" s="8" t="s">
        <v>828</v>
      </c>
      <c r="B2" s="8" t="s">
        <v>829</v>
      </c>
      <c r="C2" s="8" t="s">
        <v>830</v>
      </c>
      <c r="D2" s="8" t="s">
        <v>831</v>
      </c>
      <c r="E2" s="8" t="s">
        <v>832</v>
      </c>
      <c r="F2" s="8" t="s">
        <v>833</v>
      </c>
      <c r="G2" s="8" t="s">
        <v>834</v>
      </c>
      <c r="H2" s="8" t="s">
        <v>835</v>
      </c>
      <c r="I2" s="8" t="s">
        <v>836</v>
      </c>
      <c r="J2" s="8" t="s">
        <v>837</v>
      </c>
      <c r="K2" s="8" t="s">
        <v>838</v>
      </c>
      <c r="L2" s="8" t="s">
        <v>839</v>
      </c>
      <c r="M2" s="8" t="s">
        <v>840</v>
      </c>
      <c r="N2" s="8" t="s">
        <v>841</v>
      </c>
      <c r="O2" s="8" t="s">
        <v>842</v>
      </c>
      <c r="P2" s="8" t="s">
        <v>843</v>
      </c>
      <c r="Q2" s="8" t="s">
        <v>844</v>
      </c>
      <c r="R2" s="8" t="s">
        <v>845</v>
      </c>
      <c r="S2" s="8" t="s">
        <v>846</v>
      </c>
      <c r="T2" s="8" t="s">
        <v>847</v>
      </c>
    </row>
    <row r="3" customFormat="false" ht="15" hidden="false" customHeight="false" outlineLevel="0" collapsed="false">
      <c r="A3" s="9" t="s">
        <v>848</v>
      </c>
      <c r="B3" s="9" t="n">
        <v>1</v>
      </c>
      <c r="C3" s="9" t="n">
        <v>14</v>
      </c>
      <c r="D3" s="9" t="n">
        <v>4</v>
      </c>
      <c r="E3" s="9" t="n">
        <v>5</v>
      </c>
      <c r="F3" s="9"/>
      <c r="G3" s="9" t="n">
        <v>3</v>
      </c>
      <c r="H3" s="9" t="n">
        <v>10</v>
      </c>
      <c r="I3" s="9" t="n">
        <v>8</v>
      </c>
      <c r="J3" s="9" t="n">
        <v>5</v>
      </c>
      <c r="K3" s="9" t="n">
        <v>3</v>
      </c>
      <c r="L3" s="9" t="n">
        <v>2</v>
      </c>
      <c r="M3" s="9" t="n">
        <v>2</v>
      </c>
      <c r="N3" s="9" t="n">
        <v>3</v>
      </c>
      <c r="O3" s="9" t="n">
        <v>7</v>
      </c>
      <c r="P3" s="9" t="n">
        <v>5</v>
      </c>
      <c r="Q3" s="9" t="n">
        <v>3</v>
      </c>
      <c r="R3" s="9" t="n">
        <v>1</v>
      </c>
      <c r="S3" s="9" t="n">
        <v>6</v>
      </c>
      <c r="T3" s="4" t="n">
        <f aca="false">(H3+O3+S3)*B3</f>
        <v>23</v>
      </c>
    </row>
    <row r="4" customFormat="false" ht="15" hidden="false" customHeight="false" outlineLevel="0" collapsed="false">
      <c r="A4" s="9" t="s">
        <v>849</v>
      </c>
      <c r="B4" s="9" t="n">
        <v>1</v>
      </c>
      <c r="C4" s="9" t="n">
        <v>8</v>
      </c>
      <c r="D4" s="9" t="n">
        <v>5</v>
      </c>
      <c r="E4" s="9" t="n">
        <v>4</v>
      </c>
      <c r="F4" s="9" t="n">
        <v>2</v>
      </c>
      <c r="G4" s="9" t="n">
        <v>3</v>
      </c>
      <c r="H4" s="9" t="n">
        <v>8</v>
      </c>
      <c r="I4" s="9" t="n">
        <v>6</v>
      </c>
      <c r="J4" s="9" t="n">
        <v>4</v>
      </c>
      <c r="K4" s="9" t="n">
        <v>2</v>
      </c>
      <c r="L4" s="9" t="n">
        <v>4</v>
      </c>
      <c r="M4" s="9"/>
      <c r="N4" s="9" t="n">
        <v>3</v>
      </c>
      <c r="O4" s="9" t="n">
        <v>6</v>
      </c>
      <c r="P4" s="9" t="n">
        <v>4</v>
      </c>
      <c r="Q4" s="9" t="n">
        <v>3</v>
      </c>
      <c r="R4" s="9" t="n">
        <v>1</v>
      </c>
      <c r="S4" s="9" t="n">
        <v>5</v>
      </c>
      <c r="T4" s="4" t="n">
        <f aca="false">(H4+O4+S4)*B4</f>
        <v>19</v>
      </c>
    </row>
    <row r="5" customFormat="false" ht="15" hidden="false" customHeight="false" outlineLevel="0" collapsed="false">
      <c r="A5" s="9" t="s">
        <v>850</v>
      </c>
      <c r="B5" s="9" t="n">
        <v>2</v>
      </c>
      <c r="C5" s="9" t="n">
        <v>3</v>
      </c>
      <c r="D5" s="9" t="n">
        <v>3</v>
      </c>
      <c r="E5" s="9" t="n">
        <v>1</v>
      </c>
      <c r="F5" s="9" t="n">
        <v>2</v>
      </c>
      <c r="G5" s="9" t="n">
        <v>2</v>
      </c>
      <c r="H5" s="9" t="n">
        <v>5</v>
      </c>
      <c r="I5" s="9" t="n">
        <v>4</v>
      </c>
      <c r="J5" s="9" t="n">
        <v>2</v>
      </c>
      <c r="K5" s="9" t="n">
        <v>1</v>
      </c>
      <c r="L5" s="9" t="n">
        <v>3</v>
      </c>
      <c r="M5" s="9"/>
      <c r="N5" s="9" t="n">
        <v>2</v>
      </c>
      <c r="O5" s="9" t="n">
        <v>3</v>
      </c>
      <c r="P5" s="9" t="n">
        <v>2</v>
      </c>
      <c r="Q5" s="9" t="n">
        <v>1</v>
      </c>
      <c r="R5" s="9" t="n">
        <v>1</v>
      </c>
      <c r="S5" s="9" t="n">
        <v>3</v>
      </c>
      <c r="T5" s="4" t="n">
        <f aca="false">(H5+O5+S5)*B5</f>
        <v>22</v>
      </c>
    </row>
    <row r="6" customFormat="false" ht="15" hidden="false" customHeight="false" outlineLevel="0" collapsed="false">
      <c r="A6" s="9" t="s">
        <v>851</v>
      </c>
      <c r="B6" s="9" t="n">
        <v>2</v>
      </c>
      <c r="C6" s="9" t="n">
        <v>0</v>
      </c>
      <c r="D6" s="9" t="n">
        <v>4</v>
      </c>
      <c r="E6" s="9"/>
      <c r="F6" s="9" t="n">
        <v>2</v>
      </c>
      <c r="G6" s="9" t="n">
        <v>3</v>
      </c>
      <c r="H6" s="9" t="n">
        <v>5</v>
      </c>
      <c r="I6" s="9" t="n">
        <v>4</v>
      </c>
      <c r="J6" s="9" t="n">
        <v>2</v>
      </c>
      <c r="K6" s="9" t="n">
        <v>1</v>
      </c>
      <c r="L6" s="9" t="n">
        <v>3</v>
      </c>
      <c r="M6" s="9"/>
      <c r="N6" s="9" t="n">
        <v>2</v>
      </c>
      <c r="O6" s="9" t="n">
        <v>3</v>
      </c>
      <c r="P6" s="9" t="n">
        <v>2</v>
      </c>
      <c r="Q6" s="9" t="n">
        <v>1</v>
      </c>
      <c r="R6" s="9" t="n">
        <v>1</v>
      </c>
      <c r="S6" s="9" t="n">
        <v>3</v>
      </c>
      <c r="T6" s="4" t="n">
        <f aca="false">(H6+O6+S6)*B6</f>
        <v>22</v>
      </c>
    </row>
    <row r="7" customFormat="false" ht="15" hidden="false" customHeight="false" outlineLevel="0" collapsed="false">
      <c r="A7" s="5" t="s">
        <v>852</v>
      </c>
      <c r="T7" s="5" t="n">
        <f aca="false">SUM(T3:T6)</f>
        <v>86</v>
      </c>
    </row>
  </sheetData>
  <autoFilter ref="A2:T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2026-10-16T12:38:44Z</dcterms:created>
  <dc:creator>openpyxl</dc:creator>
  <dc:description/>
  <dc:language>en-US</dc:language>
  <cp:lastModifiedBy/>
  <dcterms:modified xsi:type="dcterms:W3CDTF">2026-10-16T12:38:44Z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